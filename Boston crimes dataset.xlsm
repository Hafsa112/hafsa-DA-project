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pivotTables/pivotTable2.xml" ContentType="application/vnd.openxmlformats-officedocument.spreadsheetml.pivotTable+xml"/>
  <Override PartName="/xl/drawings/drawing3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pivotTables/pivotTable3.xml" ContentType="application/vnd.openxmlformats-officedocument.spreadsheetml.pivotTable+xml"/>
  <Override PartName="/xl/drawings/drawing4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pivotTables/pivotTable4.xml" ContentType="application/vnd.openxmlformats-officedocument.spreadsheetml.pivotTable+xml"/>
  <Override PartName="/xl/drawings/drawing5.xml" ContentType="application/vnd.openxmlformats-officedocument.drawing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pivotTables/pivotTable5.xml" ContentType="application/vnd.openxmlformats-officedocument.spreadsheetml.pivotTable+xml"/>
  <Override PartName="/xl/drawings/drawing6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pivotTables/pivotTable6.xml" ContentType="application/vnd.openxmlformats-officedocument.spreadsheetml.pivotTable+xml"/>
  <Override PartName="/xl/drawings/drawing7.xml" ContentType="application/vnd.openxmlformats-officedocument.drawing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8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9.xml" ContentType="application/vnd.openxmlformats-officedocument.drawing+xml"/>
  <Override PartName="/xl/charts/chartEx1.xml" ContentType="application/vnd.ms-office.chartex+xml"/>
  <Override PartName="/xl/charts/style17.xml" ContentType="application/vnd.ms-office.chartstyle+xml"/>
  <Override PartName="/xl/charts/colors17.xml" ContentType="application/vnd.ms-office.chartcolorstyle+xml"/>
  <Override PartName="/xl/charts/chart17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persons/person.xml" ContentType="application/vnd.ms-excel.pers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28"/>
  <workbookPr hidePivotFieldList="1" defaultThemeVersion="202300"/>
  <mc:AlternateContent xmlns:mc="http://schemas.openxmlformats.org/markup-compatibility/2006">
    <mc:Choice Requires="x15">
      <x15ac:absPath xmlns:x15ac="http://schemas.microsoft.com/office/spreadsheetml/2010/11/ac" url="https://studentncirl-my.sharepoint.com/personal/x21504229_student_ncirl_ie/Documents/Desktop/"/>
    </mc:Choice>
  </mc:AlternateContent>
  <xr:revisionPtr revIDLastSave="1221" documentId="8_{A09B2CE8-286C-44BE-BF16-B7B59AC7B3FC}" xr6:coauthVersionLast="47" xr6:coauthVersionMax="47" xr10:uidLastSave="{7BD56F85-3EA9-417E-9BBF-1F319CDB639A}"/>
  <bookViews>
    <workbookView xWindow="-120" yWindow="-120" windowWidth="20730" windowHeight="11160" activeTab="1" xr2:uid="{B74AB222-AFF7-4163-8CBE-E5826FBFD864}"/>
  </bookViews>
  <sheets>
    <sheet name="Descriptive statistics" sheetId="19" r:id="rId1"/>
    <sheet name="Boston crimes dataset" sheetId="1" r:id="rId2"/>
    <sheet name="Sheet1" sheetId="2" r:id="rId3"/>
    <sheet name="Sheet2" sheetId="3" r:id="rId4"/>
    <sheet name="Sheet3" sheetId="4" r:id="rId5"/>
    <sheet name="Sheet5" sheetId="6" r:id="rId6"/>
    <sheet name="Sheet4" sheetId="5" r:id="rId7"/>
    <sheet name="Sheet6" sheetId="7" r:id="rId8"/>
    <sheet name="Sheet7" sheetId="8" r:id="rId9"/>
    <sheet name="Sheet9" sheetId="10" r:id="rId10"/>
    <sheet name="Sheet11" sheetId="13" r:id="rId11"/>
    <sheet name="Sheet8" sheetId="11" r:id="rId12"/>
    <sheet name="Sheet12" sheetId="15" r:id="rId13"/>
    <sheet name="Sheet10" sheetId="14" r:id="rId14"/>
  </sheets>
  <definedNames>
    <definedName name="_xlchart.v2.0" hidden="1">Sheet10!$A$3:$B$15</definedName>
    <definedName name="_xlchart.v2.1" hidden="1">Sheet10!$C$1:$C$2</definedName>
    <definedName name="_xlchart.v2.2" hidden="1">Sheet10!$C$3:$C$15</definedName>
  </definedNames>
  <calcPr calcId="191029"/>
  <pivotCaches>
    <pivotCache cacheId="0" r:id="rId15"/>
    <pivotCache cacheId="1" r:id="rId16"/>
    <pivotCache cacheId="2" r:id="rId17"/>
    <pivotCache cacheId="3" r:id="rId18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<sst xmlns="http://schemas.openxmlformats.org/spreadsheetml/2006/main" count="446" uniqueCount="126">
  <si>
    <t>CRIME&amp;Types</t>
  </si>
  <si>
    <t>Year</t>
  </si>
  <si>
    <t xml:space="preserve">Month </t>
  </si>
  <si>
    <t>Neighbourhood</t>
  </si>
  <si>
    <t>Month</t>
  </si>
  <si>
    <t>FRAUD</t>
  </si>
  <si>
    <t>Sex offense&amp;Assault</t>
  </si>
  <si>
    <t>Murder&amp;Death</t>
  </si>
  <si>
    <t>AUTO THEFT</t>
  </si>
  <si>
    <t>South End</t>
  </si>
  <si>
    <t>LARCENY THEFT&amp;BURGLARY</t>
  </si>
  <si>
    <t>M/V ACCIDENTS</t>
  </si>
  <si>
    <t>Violations</t>
  </si>
  <si>
    <t>ASSAULT&amp;Drugs</t>
  </si>
  <si>
    <t>CREDIT CARD/ATM FRAUD</t>
  </si>
  <si>
    <t>Dorchester</t>
  </si>
  <si>
    <t>Failure to register as a Sex Offender</t>
  </si>
  <si>
    <t>South Boston</t>
  </si>
  <si>
    <t>Non-Negligent Manslaughter</t>
  </si>
  <si>
    <t>Mattapan</t>
  </si>
  <si>
    <t>Leased/Rented vehicle</t>
  </si>
  <si>
    <t>East Boston</t>
  </si>
  <si>
    <t>Purse snatch-NoForce</t>
  </si>
  <si>
    <t>Back Bay</t>
  </si>
  <si>
    <t>Personal Injury</t>
  </si>
  <si>
    <t>Roxbury</t>
  </si>
  <si>
    <t>Assembly or gathering Violations</t>
  </si>
  <si>
    <t>Aggravated</t>
  </si>
  <si>
    <t>FALSE/PRETENSE SCHEME</t>
  </si>
  <si>
    <t>Beacon Hill</t>
  </si>
  <si>
    <t>Sexual Offense-Other</t>
  </si>
  <si>
    <t>Sudden Death</t>
  </si>
  <si>
    <t>MotorCycle/Scooter</t>
  </si>
  <si>
    <t>Roslindale</t>
  </si>
  <si>
    <t>Shoplifting</t>
  </si>
  <si>
    <t>Property Damage</t>
  </si>
  <si>
    <t>Harbour inident/violation</t>
  </si>
  <si>
    <t>Simple</t>
  </si>
  <si>
    <t>Downtown</t>
  </si>
  <si>
    <t>welfare Fraud</t>
  </si>
  <si>
    <t>Sex Offense-Rape-forcible&amp;Sodomy</t>
  </si>
  <si>
    <t>Death investigation</t>
  </si>
  <si>
    <t>Auto Theft Recovery</t>
  </si>
  <si>
    <t>Theft from building</t>
  </si>
  <si>
    <t>North End</t>
  </si>
  <si>
    <t>Involving Bicycle-Injury</t>
  </si>
  <si>
    <t>License Premise Violation</t>
  </si>
  <si>
    <t>possession of Drug PARAPANALIA</t>
  </si>
  <si>
    <t>WIRE Fraud</t>
  </si>
  <si>
    <t xml:space="preserve">East Boston </t>
  </si>
  <si>
    <t xml:space="preserve">Sexual Assault Investigation </t>
  </si>
  <si>
    <t>Brighton</t>
  </si>
  <si>
    <t>Suicide/Suicide Attempt</t>
  </si>
  <si>
    <t>Bicycle</t>
  </si>
  <si>
    <t>Larceny All others</t>
  </si>
  <si>
    <t>Involving Bicycle-No Injury</t>
  </si>
  <si>
    <t>Liquor Law Violation</t>
  </si>
  <si>
    <t>Drugs-Possesion/Sale/Manufacturing/Use</t>
  </si>
  <si>
    <t>IDENTITY FRAUD</t>
  </si>
  <si>
    <t>Sexual Assault Kit Collected</t>
  </si>
  <si>
    <t>West End</t>
  </si>
  <si>
    <t>Motor vehcile parts and accessories</t>
  </si>
  <si>
    <t>Commercial Burglary</t>
  </si>
  <si>
    <t>Involving-Pedestrian Injury</t>
  </si>
  <si>
    <t>Restraining Orders Violation(No Arrest)</t>
  </si>
  <si>
    <t>Verbal Dispute</t>
  </si>
  <si>
    <t>Sexual Assault-fondling</t>
  </si>
  <si>
    <t xml:space="preserve">Towed MV </t>
  </si>
  <si>
    <t>Resedential Burglary</t>
  </si>
  <si>
    <t>Involving-Pedestrian No Injury</t>
  </si>
  <si>
    <t>Violation of Auto Law</t>
  </si>
  <si>
    <t>Child Endangergment</t>
  </si>
  <si>
    <t>Robbery</t>
  </si>
  <si>
    <t>Rosindale</t>
  </si>
  <si>
    <t>Other</t>
  </si>
  <si>
    <t>City Ordinance-Violation</t>
  </si>
  <si>
    <t>Chinatown</t>
  </si>
  <si>
    <t>Kidnapping/Custodial Kidnapping/Abduction</t>
  </si>
  <si>
    <t xml:space="preserve">Hyde Park </t>
  </si>
  <si>
    <t>POSSESSION OF BURGLARIOUS TOOLS</t>
  </si>
  <si>
    <t>Towed MV</t>
  </si>
  <si>
    <t>Weapon Violation-Carry/pocessing/Sale/Traffic</t>
  </si>
  <si>
    <t>Restraining Orders Violation( with  Arrest)</t>
  </si>
  <si>
    <t>Police Vehicle</t>
  </si>
  <si>
    <t>M/V Plates-Lost</t>
  </si>
  <si>
    <t>Vandalism</t>
  </si>
  <si>
    <t>DownTown</t>
  </si>
  <si>
    <t>M/V Accident Other city Vehicle</t>
  </si>
  <si>
    <t>IMPORTANT DETAIL</t>
  </si>
  <si>
    <t>In order to insert a suggestion that uses a PivotTable or formula, your data was organized in columns with a single header row.</t>
  </si>
  <si>
    <t>Field2</t>
  </si>
  <si>
    <t xml:space="preserve">Sum of Month </t>
  </si>
  <si>
    <t>(blank)</t>
  </si>
  <si>
    <t>Grand Total</t>
  </si>
  <si>
    <t>Field3</t>
  </si>
  <si>
    <t>Field4</t>
  </si>
  <si>
    <t>Field5</t>
  </si>
  <si>
    <t>Sum of Field4</t>
  </si>
  <si>
    <t>Count</t>
  </si>
  <si>
    <t>Sum of Field3</t>
  </si>
  <si>
    <t>Row Labels</t>
  </si>
  <si>
    <t>Sum of Year</t>
  </si>
  <si>
    <t>Murder and Death crimes yearly</t>
  </si>
  <si>
    <t>Sexual Assault crimes monthy with their assigned neighbourhoods</t>
  </si>
  <si>
    <t>Murder and Death crimes by neighbourhood counts how much of each crime in each area.</t>
  </si>
  <si>
    <t>Roxbury Total</t>
  </si>
  <si>
    <t>Dorchester Total</t>
  </si>
  <si>
    <t>Hyde Park  Total</t>
  </si>
  <si>
    <t>Downtown Total</t>
  </si>
  <si>
    <t>Mean</t>
  </si>
  <si>
    <t>Standard Error</t>
  </si>
  <si>
    <t>Median</t>
  </si>
  <si>
    <t>Mode</t>
  </si>
  <si>
    <t>Standard Deviation</t>
  </si>
  <si>
    <t>Sample Variance</t>
  </si>
  <si>
    <t>Kurtosis</t>
  </si>
  <si>
    <t>Skewness</t>
  </si>
  <si>
    <t>Range</t>
  </si>
  <si>
    <t>Minimum</t>
  </si>
  <si>
    <t>Maximum</t>
  </si>
  <si>
    <t>Sum</t>
  </si>
  <si>
    <t>Largest(1)</t>
  </si>
  <si>
    <t>Smallest(1)</t>
  </si>
  <si>
    <t>Confidence Level(95.0%)</t>
  </si>
  <si>
    <t>YEAR</t>
  </si>
  <si>
    <t>MONTH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</si>
</sst>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1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1"/>
      <color rgb="FF006100"/>
      <name val="Aptos Narrow"/>
      <family val="2"/>
      <scheme val="minor"/>
    </font>
    <font>
      <sz val="11"/>
      <color rgb="FF9C0006"/>
      <name val="Aptos Narrow"/>
      <family val="2"/>
      <scheme val="minor"/>
    </font>
    <font>
      <sz val="11"/>
      <color rgb="FF9C5700"/>
      <name val="Aptos Narrow"/>
      <family val="2"/>
      <scheme val="minor"/>
    </font>
    <font>
      <sz val="11"/>
      <color rgb="FF3F3F76"/>
      <name val="Aptos Narrow"/>
      <family val="2"/>
      <scheme val="minor"/>
    </font>
    <font>
      <b/>
      <sz val="11"/>
      <color rgb="FF3F3F3F"/>
      <name val="Aptos Narrow"/>
      <family val="2"/>
      <scheme val="minor"/>
    </font>
    <font>
      <b/>
      <sz val="11"/>
      <color rgb="FFFA7D00"/>
      <name val="Aptos Narrow"/>
      <family val="2"/>
      <scheme val="minor"/>
    </font>
    <font>
      <sz val="11"/>
      <color rgb="FFFA7D00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i/>
      <sz val="11"/>
      <color rgb="FF7F7F7F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sz val="11"/>
      <color rgb="FF4472C4"/>
      <name val="Aptos Narrow"/>
      <family val="2"/>
      <scheme val="minor"/>
    </font>
    <font>
      <sz val="11"/>
      <color rgb="FF333333"/>
      <name val="Aptos Narrow"/>
      <family val="2"/>
      <scheme val="minor"/>
    </font>
    <font>
      <i/>
      <sz val="11"/>
      <color theme="1"/>
      <name val="Aptos Narrow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2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1">
    <xf numFmtId="0" fontId="0" fillId="0" borderId="0" xfId="0"/>
    <xf numFmtId="0" fontId="16" fillId="0" borderId="0" xfId="0" applyFont="1"/>
    <xf numFmtId="0" fontId="18" fillId="0" borderId="0" xfId="0" applyFont="1"/>
    <xf numFmtId="0" fontId="19" fillId="0" borderId="0" xfId="0" applyFont="1"/>
    <xf numFmtId="0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0" fontId="0" fillId="0" borderId="0" xfId="0" applyFill="1" applyBorder="1" applyAlignment="1"/>
    <xf numFmtId="0" fontId="0" fillId="0" borderId="10" xfId="0" applyFill="1" applyBorder="1" applyAlignment="1"/>
    <xf numFmtId="0" fontId="20" fillId="0" borderId="11" xfId="0" applyFont="1" applyFill="1" applyBorder="1" applyAlignment="1">
      <alignment horizontal="centerContinuous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pivotCacheDefinition" Target="pivotCache/pivotCacheDefinition4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pivotCacheDefinition" Target="pivotCache/pivotCacheDefinition3.xml"/><Relationship Id="rId2" Type="http://schemas.openxmlformats.org/officeDocument/2006/relationships/worksheet" Target="worksheets/sheet2.xml"/><Relationship Id="rId16" Type="http://schemas.openxmlformats.org/officeDocument/2006/relationships/pivotCacheDefinition" Target="pivotCache/pivotCacheDefinition2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pivotCacheDefinition" Target="pivotCache/pivotCacheDefinition1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17/10/relationships/person" Target="persons/perso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Yearly fraud crimes</a:t>
            </a:r>
          </a:p>
          <a:p>
            <a:pPr>
              <a:defRPr/>
            </a:pP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'Boston crimes dataset'!$B$1:$B$2</c:f>
              <c:strCache>
                <c:ptCount val="2"/>
                <c:pt idx="0">
                  <c:v>Year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'Boston crimes dataset'!$A$3:$A$9</c:f>
              <c:strCache>
                <c:ptCount val="5"/>
                <c:pt idx="0">
                  <c:v>CREDIT CARD/ATM FRAUD</c:v>
                </c:pt>
                <c:pt idx="1">
                  <c:v>FALSE/PRETENSE SCHEME</c:v>
                </c:pt>
                <c:pt idx="2">
                  <c:v>welfare Fraud</c:v>
                </c:pt>
                <c:pt idx="3">
                  <c:v>WIRE Fraud</c:v>
                </c:pt>
                <c:pt idx="4">
                  <c:v>IDENTITY FRAUD</c:v>
                </c:pt>
              </c:strCache>
            </c:strRef>
          </c:cat>
          <c:val>
            <c:numRef>
              <c:f>'Boston crimes dataset'!$B$3:$B$9</c:f>
              <c:numCache>
                <c:formatCode>General</c:formatCode>
                <c:ptCount val="7"/>
                <c:pt idx="0">
                  <c:v>2018</c:v>
                </c:pt>
                <c:pt idx="1">
                  <c:v>2022</c:v>
                </c:pt>
                <c:pt idx="2">
                  <c:v>2023</c:v>
                </c:pt>
                <c:pt idx="3">
                  <c:v>2023</c:v>
                </c:pt>
                <c:pt idx="4">
                  <c:v>2019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971-4B13-95DC-52A33909D4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032747792"/>
        <c:axId val="2032740592"/>
      </c:barChart>
      <c:catAx>
        <c:axId val="20327477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32740592"/>
        <c:crosses val="autoZero"/>
        <c:auto val="1"/>
        <c:lblAlgn val="ctr"/>
        <c:lblOffset val="100"/>
        <c:noMultiLvlLbl val="0"/>
      </c:catAx>
      <c:valAx>
        <c:axId val="20327405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327477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sexual offense &amp; Assault crimes yearly and monthly</a:t>
            </a:r>
          </a:p>
          <a:p>
            <a:pPr>
              <a:defRPr/>
            </a:pPr>
            <a:r>
              <a:rPr lang="en-US"/>
              <a:t>(shown in percentage and colors)</a:t>
            </a:r>
          </a:p>
          <a:p>
            <a:pPr>
              <a:defRPr/>
            </a:pPr>
            <a:endParaRPr lang="en-US"/>
          </a:p>
        </c:rich>
      </c:tx>
      <c:layout>
        <c:manualLayout>
          <c:xMode val="edge"/>
          <c:yMode val="edge"/>
          <c:x val="0.25726044776553703"/>
          <c:y val="1.7118599724873626E-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'Boston crimes dataset'!$H$2</c:f>
              <c:strCache>
                <c:ptCount val="1"/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836E-421B-AEB0-2BCC9F86A7DD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836E-421B-AEB0-2BCC9F86A7DD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836E-421B-AEB0-2BCC9F86A7DD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836E-421B-AEB0-2BCC9F86A7DD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836E-421B-AEB0-2BCC9F86A7DD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B-836E-421B-AEB0-2BCC9F86A7DD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dk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'Boston crimes dataset'!$E$3:$G$8</c15:sqref>
                  </c15:fullRef>
                  <c15:levelRef>
                    <c15:sqref>'Boston crimes dataset'!$E$3:$E$8</c15:sqref>
                  </c15:levelRef>
                </c:ext>
              </c:extLst>
              <c:f>'Boston crimes dataset'!$E$3:$E$8</c:f>
              <c:strCache>
                <c:ptCount val="6"/>
                <c:pt idx="0">
                  <c:v>Failure to register as a Sex Offender</c:v>
                </c:pt>
                <c:pt idx="1">
                  <c:v>Sexual Offense-Other</c:v>
                </c:pt>
                <c:pt idx="2">
                  <c:v>Sex Offense-Rape-forcible&amp;Sodomy</c:v>
                </c:pt>
                <c:pt idx="3">
                  <c:v>Sexual Assault Investigation </c:v>
                </c:pt>
                <c:pt idx="4">
                  <c:v>Sexual Assault Kit Collected</c:v>
                </c:pt>
                <c:pt idx="5">
                  <c:v>Sexual Assault-fondling</c:v>
                </c:pt>
              </c:strCache>
            </c:strRef>
          </c:cat>
          <c:val>
            <c:numRef>
              <c:f>'Boston crimes dataset'!$H$3:$H$8</c:f>
              <c:numCache>
                <c:formatCode>General</c:formatCode>
                <c:ptCount val="6"/>
                <c:pt idx="0">
                  <c:v>4</c:v>
                </c:pt>
                <c:pt idx="1">
                  <c:v>6</c:v>
                </c:pt>
                <c:pt idx="2">
                  <c:v>11</c:v>
                </c:pt>
                <c:pt idx="3">
                  <c:v>1</c:v>
                </c:pt>
                <c:pt idx="4">
                  <c:v>11</c:v>
                </c:pt>
                <c:pt idx="5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33F-4B84-B0A0-8436491656B9}"/>
            </c:ext>
          </c:extLst>
        </c:ser>
        <c:dLbls>
          <c:dLblPos val="inEnd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solidFill>
          <a:schemeClr val="lt1">
            <a:alpha val="78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pattFill prst="dkDnDiag">
      <a:fgClr>
        <a:schemeClr val="lt1">
          <a:lumMod val="95000"/>
        </a:schemeClr>
      </a:fgClr>
      <a:bgClr>
        <a:schemeClr val="lt1"/>
      </a:bgClr>
    </a:patt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E"/>
              <a:t>murder&amp;</a:t>
            </a:r>
            <a:r>
              <a:rPr lang="en-IE" baseline="0"/>
              <a:t> Death crimes predicted monthly </a:t>
            </a:r>
            <a:endParaRPr lang="en-IE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3569804970550925E-2"/>
          <c:y val="0.21155685027463361"/>
          <c:w val="0.90297462817147855"/>
          <c:h val="0.56449803149606304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'Boston crimes dataset'!$N$1:$N$2</c:f>
              <c:strCache>
                <c:ptCount val="2"/>
                <c:pt idx="0">
                  <c:v>Month 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'Boston crimes dataset'!$K$3:$M$6</c15:sqref>
                  </c15:fullRef>
                  <c15:levelRef>
                    <c15:sqref>'Boston crimes dataset'!$K$3:$K$6</c15:sqref>
                  </c15:levelRef>
                </c:ext>
              </c:extLst>
              <c:f>'Boston crimes dataset'!$K$3:$K$6</c:f>
              <c:strCache>
                <c:ptCount val="4"/>
                <c:pt idx="0">
                  <c:v>Non-Negligent Manslaughter</c:v>
                </c:pt>
                <c:pt idx="1">
                  <c:v>Sudden Death</c:v>
                </c:pt>
                <c:pt idx="2">
                  <c:v>Death investigation</c:v>
                </c:pt>
                <c:pt idx="3">
                  <c:v>Suicide/Suicide Attempt</c:v>
                </c:pt>
              </c:strCache>
            </c:strRef>
          </c:cat>
          <c:val>
            <c:numRef>
              <c:f>'Boston crimes dataset'!$N$3:$N$6</c:f>
              <c:numCache>
                <c:formatCode>General</c:formatCode>
                <c:ptCount val="4"/>
                <c:pt idx="0">
                  <c:v>1</c:v>
                </c:pt>
                <c:pt idx="1">
                  <c:v>12</c:v>
                </c:pt>
                <c:pt idx="2">
                  <c:v>12</c:v>
                </c:pt>
                <c:pt idx="3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29C-4C83-94EA-B671961B2365}"/>
            </c:ext>
          </c:extLst>
        </c:ser>
        <c:ser>
          <c:idx val="1"/>
          <c:order val="1"/>
          <c:tx>
            <c:strRef>
              <c:f>'Boston crimes dataset'!$O$1:$O$2</c:f>
              <c:strCache>
                <c:ptCount val="2"/>
                <c:pt idx="0">
                  <c:v>Neighbourhood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'Boston crimes dataset'!$K$3:$M$6</c15:sqref>
                  </c15:fullRef>
                  <c15:levelRef>
                    <c15:sqref>'Boston crimes dataset'!$K$3:$K$6</c15:sqref>
                  </c15:levelRef>
                </c:ext>
              </c:extLst>
              <c:f>'Boston crimes dataset'!$K$3:$K$6</c:f>
              <c:strCache>
                <c:ptCount val="4"/>
                <c:pt idx="0">
                  <c:v>Non-Negligent Manslaughter</c:v>
                </c:pt>
                <c:pt idx="1">
                  <c:v>Sudden Death</c:v>
                </c:pt>
                <c:pt idx="2">
                  <c:v>Death investigation</c:v>
                </c:pt>
                <c:pt idx="3">
                  <c:v>Suicide/Suicide Attempt</c:v>
                </c:pt>
              </c:strCache>
            </c:strRef>
          </c:cat>
          <c:val>
            <c:numRef>
              <c:f>'Boston crimes dataset'!$O$3:$O$6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29C-4C83-94EA-B671961B23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041407344"/>
        <c:axId val="2041407824"/>
      </c:barChart>
      <c:catAx>
        <c:axId val="20414073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41407824"/>
        <c:crosses val="autoZero"/>
        <c:auto val="1"/>
        <c:lblAlgn val="ctr"/>
        <c:lblOffset val="100"/>
        <c:noMultiLvlLbl val="0"/>
      </c:catAx>
      <c:valAx>
        <c:axId val="20414078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414073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IE"/>
              <a:t>Auto Theft crimes yearly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'Boston crimes dataset'!$Q$2</c:f>
              <c:strCache>
                <c:ptCount val="1"/>
                <c:pt idx="0">
                  <c:v>AUTO THEFT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'Boston crimes dataset'!$R$1</c:f>
              <c:strCache>
                <c:ptCount val="1"/>
                <c:pt idx="0">
                  <c:v>Year</c:v>
                </c:pt>
              </c:strCache>
            </c:strRef>
          </c:cat>
          <c:val>
            <c:numRef>
              <c:f>'Boston crimes dataset'!$R$2</c:f>
              <c:numCache>
                <c:formatCode>General</c:formatCode>
                <c:ptCount val="1"/>
                <c:pt idx="0">
                  <c:v>2023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07E-4470-BA37-1658EEF7887A}"/>
            </c:ext>
          </c:extLst>
        </c:ser>
        <c:ser>
          <c:idx val="1"/>
          <c:order val="1"/>
          <c:tx>
            <c:strRef>
              <c:f>'Boston crimes dataset'!$Q$3</c:f>
              <c:strCache>
                <c:ptCount val="1"/>
                <c:pt idx="0">
                  <c:v>Leased/Rented vehicle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'Boston crimes dataset'!$R$1</c:f>
              <c:strCache>
                <c:ptCount val="1"/>
                <c:pt idx="0">
                  <c:v>Year</c:v>
                </c:pt>
              </c:strCache>
            </c:strRef>
          </c:cat>
          <c:val>
            <c:numRef>
              <c:f>'Boston crimes dataset'!$R$3</c:f>
              <c:numCache>
                <c:formatCode>General</c:formatCode>
                <c:ptCount val="1"/>
                <c:pt idx="0">
                  <c:v>2022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07E-4470-BA37-1658EEF7887A}"/>
            </c:ext>
          </c:extLst>
        </c:ser>
        <c:ser>
          <c:idx val="2"/>
          <c:order val="2"/>
          <c:tx>
            <c:strRef>
              <c:f>'Boston crimes dataset'!$Q$4</c:f>
              <c:strCache>
                <c:ptCount val="1"/>
                <c:pt idx="0">
                  <c:v>MotorCycle/Scooter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'Boston crimes dataset'!$R$1</c:f>
              <c:strCache>
                <c:ptCount val="1"/>
                <c:pt idx="0">
                  <c:v>Year</c:v>
                </c:pt>
              </c:strCache>
            </c:strRef>
          </c:cat>
          <c:val>
            <c:numRef>
              <c:f>'Boston crimes dataset'!$R$4</c:f>
              <c:numCache>
                <c:formatCode>General</c:formatCode>
                <c:ptCount val="1"/>
                <c:pt idx="0">
                  <c:v>2022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07E-4470-BA37-1658EEF7887A}"/>
            </c:ext>
          </c:extLst>
        </c:ser>
        <c:ser>
          <c:idx val="3"/>
          <c:order val="3"/>
          <c:tx>
            <c:strRef>
              <c:f>'Boston crimes dataset'!$Q$5</c:f>
              <c:strCache>
                <c:ptCount val="1"/>
                <c:pt idx="0">
                  <c:v>Auto Theft Recovery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'Boston crimes dataset'!$R$1</c:f>
              <c:strCache>
                <c:ptCount val="1"/>
                <c:pt idx="0">
                  <c:v>Year</c:v>
                </c:pt>
              </c:strCache>
            </c:strRef>
          </c:cat>
          <c:val>
            <c:numRef>
              <c:f>'Boston crimes dataset'!$R$5</c:f>
              <c:numCache>
                <c:formatCode>General</c:formatCode>
                <c:ptCount val="1"/>
                <c:pt idx="0">
                  <c:v>2023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E07E-4470-BA37-1658EEF7887A}"/>
            </c:ext>
          </c:extLst>
        </c:ser>
        <c:ser>
          <c:idx val="4"/>
          <c:order val="4"/>
          <c:tx>
            <c:strRef>
              <c:f>'Boston crimes dataset'!$Q$6</c:f>
              <c:strCache>
                <c:ptCount val="1"/>
                <c:pt idx="0">
                  <c:v>Bicycle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'Boston crimes dataset'!$R$1</c:f>
              <c:strCache>
                <c:ptCount val="1"/>
                <c:pt idx="0">
                  <c:v>Year</c:v>
                </c:pt>
              </c:strCache>
            </c:strRef>
          </c:cat>
          <c:val>
            <c:numRef>
              <c:f>'Boston crimes dataset'!$R$6</c:f>
              <c:numCache>
                <c:formatCode>General</c:formatCode>
                <c:ptCount val="1"/>
                <c:pt idx="0">
                  <c:v>2024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07E-4470-BA37-1658EEF7887A}"/>
            </c:ext>
          </c:extLst>
        </c:ser>
        <c:ser>
          <c:idx val="5"/>
          <c:order val="5"/>
          <c:tx>
            <c:strRef>
              <c:f>'Boston crimes dataset'!$Q$7</c:f>
              <c:strCache>
                <c:ptCount val="1"/>
                <c:pt idx="0">
                  <c:v>Motor vehcile parts and accessories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'Boston crimes dataset'!$R$1</c:f>
              <c:strCache>
                <c:ptCount val="1"/>
                <c:pt idx="0">
                  <c:v>Year</c:v>
                </c:pt>
              </c:strCache>
            </c:strRef>
          </c:cat>
          <c:val>
            <c:numRef>
              <c:f>'Boston crimes dataset'!$R$7</c:f>
              <c:numCache>
                <c:formatCode>General</c:formatCode>
                <c:ptCount val="1"/>
                <c:pt idx="0">
                  <c:v>2022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E07E-4470-BA37-1658EEF7887A}"/>
            </c:ext>
          </c:extLst>
        </c:ser>
        <c:ser>
          <c:idx val="6"/>
          <c:order val="6"/>
          <c:tx>
            <c:strRef>
              <c:f>'Boston crimes dataset'!$Q$8</c:f>
              <c:strCache>
                <c:ptCount val="1"/>
                <c:pt idx="0">
                  <c:v>Towed MV 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'Boston crimes dataset'!$R$1</c:f>
              <c:strCache>
                <c:ptCount val="1"/>
                <c:pt idx="0">
                  <c:v>Year</c:v>
                </c:pt>
              </c:strCache>
            </c:strRef>
          </c:cat>
          <c:val>
            <c:numRef>
              <c:f>'Boston crimes dataset'!$R$8</c:f>
              <c:numCache>
                <c:formatCode>General</c:formatCode>
                <c:ptCount val="1"/>
                <c:pt idx="0">
                  <c:v>2023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E07E-4470-BA37-1658EEF788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1610385568"/>
        <c:axId val="1610386528"/>
      </c:barChart>
      <c:catAx>
        <c:axId val="16103855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10386528"/>
        <c:crosses val="autoZero"/>
        <c:auto val="1"/>
        <c:lblAlgn val="ctr"/>
        <c:lblOffset val="100"/>
        <c:noMultiLvlLbl val="0"/>
      </c:catAx>
      <c:valAx>
        <c:axId val="16103865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103855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E"/>
              <a:t>Assault and drugs yearly crimes</a:t>
            </a:r>
          </a:p>
          <a:p>
            <a:pPr>
              <a:defRPr/>
            </a:pPr>
            <a:endParaRPr lang="en-IE"/>
          </a:p>
        </c:rich>
      </c:tx>
      <c:layout>
        <c:manualLayout>
          <c:xMode val="edge"/>
          <c:yMode val="edge"/>
          <c:x val="0.26482633420822399"/>
          <c:y val="1.388888888888888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'Boston crimes dataset'!$AK$1</c:f>
              <c:strCache>
                <c:ptCount val="1"/>
                <c:pt idx="0">
                  <c:v>Year</c:v>
                </c:pt>
              </c:strCache>
            </c:strRef>
          </c:tx>
          <c:spPr>
            <a:ln w="317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1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'Boston crimes dataset'!$AJ$2:$AJ$9</c:f>
              <c:strCache>
                <c:ptCount val="8"/>
                <c:pt idx="0">
                  <c:v>ASSAULT&amp;Drugs</c:v>
                </c:pt>
                <c:pt idx="1">
                  <c:v>Aggravated</c:v>
                </c:pt>
                <c:pt idx="2">
                  <c:v>Simple</c:v>
                </c:pt>
                <c:pt idx="3">
                  <c:v>possession of Drug PARAPANALIA</c:v>
                </c:pt>
                <c:pt idx="4">
                  <c:v>Drugs-Possesion/Sale/Manufacturing/Use</c:v>
                </c:pt>
                <c:pt idx="5">
                  <c:v>Verbal Dispute</c:v>
                </c:pt>
                <c:pt idx="6">
                  <c:v>Child Endangergment</c:v>
                </c:pt>
                <c:pt idx="7">
                  <c:v>Kidnapping/Custodial Kidnapping/Abduction</c:v>
                </c:pt>
              </c:strCache>
            </c:strRef>
          </c:cat>
          <c:val>
            <c:numRef>
              <c:f>'Boston crimes dataset'!$AK$2:$AK$9</c:f>
              <c:numCache>
                <c:formatCode>General</c:formatCode>
                <c:ptCount val="8"/>
                <c:pt idx="1">
                  <c:v>2022</c:v>
                </c:pt>
                <c:pt idx="2">
                  <c:v>2023</c:v>
                </c:pt>
                <c:pt idx="3">
                  <c:v>2024</c:v>
                </c:pt>
                <c:pt idx="4">
                  <c:v>2022</c:v>
                </c:pt>
                <c:pt idx="5">
                  <c:v>2022</c:v>
                </c:pt>
                <c:pt idx="6">
                  <c:v>2024</c:v>
                </c:pt>
                <c:pt idx="7">
                  <c:v>2023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A93-439E-ADF9-FA312911A349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74117712"/>
        <c:axId val="74122032"/>
      </c:lineChart>
      <c:catAx>
        <c:axId val="741177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122032"/>
        <c:crosses val="autoZero"/>
        <c:auto val="1"/>
        <c:lblAlgn val="ctr"/>
        <c:lblOffset val="100"/>
        <c:noMultiLvlLbl val="0"/>
      </c:catAx>
      <c:valAx>
        <c:axId val="74122032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741177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E"/>
              <a:t>Violation</a:t>
            </a:r>
            <a:r>
              <a:rPr lang="en-IE" baseline="0"/>
              <a:t> crimes yearly</a:t>
            </a:r>
          </a:p>
          <a:p>
            <a:pPr>
              <a:defRPr/>
            </a:pPr>
            <a:endParaRPr lang="en-IE"/>
          </a:p>
        </c:rich>
      </c:tx>
      <c:layout>
        <c:manualLayout>
          <c:xMode val="edge"/>
          <c:yMode val="edge"/>
          <c:x val="0.2451166290443943"/>
          <c:y val="3.258656501254925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FF15-4879-BA24-5C49041A1EFC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FF15-4879-BA24-5C49041A1EFC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FF15-4879-BA24-5C49041A1EFC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FF15-4879-BA24-5C49041A1EFC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FF15-4879-BA24-5C49041A1EFC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B-FF15-4879-BA24-5C49041A1EFC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D-FF15-4879-BA24-5C49041A1EFC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F-FF15-4879-BA24-5C49041A1EFC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1-FF15-4879-BA24-5C49041A1EFC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3-FF15-4879-BA24-5C49041A1EFC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'Boston crimes dataset'!$AF$2:$AF$11</c:f>
              <c:strCache>
                <c:ptCount val="10"/>
                <c:pt idx="0">
                  <c:v>Violations</c:v>
                </c:pt>
                <c:pt idx="1">
                  <c:v>Assembly or gathering Violations</c:v>
                </c:pt>
                <c:pt idx="2">
                  <c:v>Harbour inident/violation</c:v>
                </c:pt>
                <c:pt idx="3">
                  <c:v>License Premise Violation</c:v>
                </c:pt>
                <c:pt idx="4">
                  <c:v>Liquor Law Violation</c:v>
                </c:pt>
                <c:pt idx="5">
                  <c:v>Restraining Orders Violation(No Arrest)</c:v>
                </c:pt>
                <c:pt idx="6">
                  <c:v>Violation of Auto Law</c:v>
                </c:pt>
                <c:pt idx="7">
                  <c:v>City Ordinance-Violation</c:v>
                </c:pt>
                <c:pt idx="8">
                  <c:v>Weapon Violation-Carry/pocessing/Sale/Traffic</c:v>
                </c:pt>
                <c:pt idx="9">
                  <c:v>Restraining Orders Violation( with  Arrest)</c:v>
                </c:pt>
              </c:strCache>
            </c:strRef>
          </c:cat>
          <c:val>
            <c:numRef>
              <c:f>'Boston crimes dataset'!$AG$2:$AG$11</c:f>
              <c:numCache>
                <c:formatCode>General</c:formatCode>
                <c:ptCount val="10"/>
                <c:pt idx="1">
                  <c:v>2024</c:v>
                </c:pt>
                <c:pt idx="2">
                  <c:v>2022</c:v>
                </c:pt>
                <c:pt idx="3">
                  <c:v>2022</c:v>
                </c:pt>
                <c:pt idx="4">
                  <c:v>2023</c:v>
                </c:pt>
                <c:pt idx="5">
                  <c:v>2023</c:v>
                </c:pt>
                <c:pt idx="6">
                  <c:v>2022</c:v>
                </c:pt>
                <c:pt idx="7">
                  <c:v>2024</c:v>
                </c:pt>
                <c:pt idx="8">
                  <c:v>2022</c:v>
                </c:pt>
                <c:pt idx="9">
                  <c:v>2022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321-458D-B363-74A0EE56D527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4258841234010533"/>
          <c:y val="0.31280066131055295"/>
          <c:w val="0.34236267870579384"/>
          <c:h val="0.62933381001519428"/>
        </c:manualLayout>
      </c:layout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500" b="1" i="0" u="none" strike="noStrike" kern="1200" cap="all" spc="100" normalizeH="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en-IE"/>
              <a:t>M/V Accident crimes yearly</a:t>
            </a:r>
          </a:p>
          <a:p>
            <a:pPr>
              <a:defRPr/>
            </a:pPr>
            <a:endParaRPr lang="en-IE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00" b="1" i="0" u="none" strike="noStrike" kern="1200" cap="all" spc="100" normalizeH="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8575" cap="rnd">
              <a:solidFill>
                <a:schemeClr val="lt1">
                  <a:alpha val="50000"/>
                </a:schemeClr>
              </a:solidFill>
              <a:round/>
            </a:ln>
            <a:effectLst>
              <a:outerShdw dist="25400" dir="2700000" algn="tl" rotWithShape="0">
                <a:schemeClr val="accent1"/>
              </a:outerShdw>
            </a:effectLst>
          </c:spPr>
          <c:marker>
            <c:symbol val="circle"/>
            <c:size val="6"/>
            <c:spPr>
              <a:solidFill>
                <a:schemeClr val="accent1"/>
              </a:solidFill>
              <a:ln w="22225">
                <a:solidFill>
                  <a:schemeClr val="lt1"/>
                </a:solidFill>
                <a:round/>
              </a:ln>
              <a:effectLst/>
            </c:spPr>
          </c:marker>
          <c:xVal>
            <c:strRef>
              <c:f>'Boston crimes dataset'!$AB$2:$AB$15</c:f>
              <c:strCache>
                <c:ptCount val="14"/>
                <c:pt idx="0">
                  <c:v>M/V ACCIDENTS</c:v>
                </c:pt>
                <c:pt idx="1">
                  <c:v>Personal Injury</c:v>
                </c:pt>
                <c:pt idx="2">
                  <c:v>Property Damage</c:v>
                </c:pt>
                <c:pt idx="3">
                  <c:v>Involving Bicycle-Injury</c:v>
                </c:pt>
                <c:pt idx="4">
                  <c:v>Involving Bicycle-No Injury</c:v>
                </c:pt>
                <c:pt idx="5">
                  <c:v>Involving-Pedestrian Injury</c:v>
                </c:pt>
                <c:pt idx="6">
                  <c:v>Involving-Pedestrian No Injury</c:v>
                </c:pt>
                <c:pt idx="7">
                  <c:v>Other</c:v>
                </c:pt>
                <c:pt idx="8">
                  <c:v>Towed MV</c:v>
                </c:pt>
                <c:pt idx="9">
                  <c:v>Personal Injury</c:v>
                </c:pt>
                <c:pt idx="10">
                  <c:v>Police Vehicle</c:v>
                </c:pt>
                <c:pt idx="11">
                  <c:v>M/V Plates-Lost</c:v>
                </c:pt>
                <c:pt idx="12">
                  <c:v>Vandalism</c:v>
                </c:pt>
                <c:pt idx="13">
                  <c:v>M/V Accident Other city Vehicle</c:v>
                </c:pt>
              </c:strCache>
            </c:strRef>
          </c:xVal>
          <c:yVal>
            <c:numRef>
              <c:f>'Boston crimes dataset'!$AC$2:$AC$15</c:f>
              <c:numCache>
                <c:formatCode>General</c:formatCode>
                <c:ptCount val="14"/>
                <c:pt idx="1">
                  <c:v>2023</c:v>
                </c:pt>
                <c:pt idx="2">
                  <c:v>2022</c:v>
                </c:pt>
                <c:pt idx="3">
                  <c:v>2022</c:v>
                </c:pt>
                <c:pt idx="4">
                  <c:v>2022</c:v>
                </c:pt>
                <c:pt idx="5">
                  <c:v>2023</c:v>
                </c:pt>
                <c:pt idx="6">
                  <c:v>2022</c:v>
                </c:pt>
                <c:pt idx="7">
                  <c:v>2022</c:v>
                </c:pt>
                <c:pt idx="8">
                  <c:v>2022</c:v>
                </c:pt>
                <c:pt idx="9">
                  <c:v>2024</c:v>
                </c:pt>
                <c:pt idx="10">
                  <c:v>2022</c:v>
                </c:pt>
                <c:pt idx="11">
                  <c:v>2022</c:v>
                </c:pt>
                <c:pt idx="12">
                  <c:v>2022</c:v>
                </c:pt>
                <c:pt idx="13">
                  <c:v>2024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269-4867-813D-190C5D705E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3413487"/>
        <c:axId val="733417807"/>
      </c:scatterChart>
      <c:valAx>
        <c:axId val="73341348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lt1">
                  <a:alpha val="2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3417807"/>
        <c:crosses val="autoZero"/>
        <c:crossBetween val="midCat"/>
      </c:valAx>
      <c:valAx>
        <c:axId val="73341780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alpha val="2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341348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1"/>
    </a:solidFill>
    <a:ln w="9525" cap="flat" cmpd="sng" algn="ctr">
      <a:solidFill>
        <a:schemeClr val="accent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'Year', 'Month' by 'CRIME FRAUD'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'Boston crimes dataset'!$B$1</c:f>
              <c:strCache>
                <c:ptCount val="1"/>
                <c:pt idx="0">
                  <c:v>Year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'Boston crimes dataset'!$A$3:$A$8</c:f>
              <c:strCache>
                <c:ptCount val="5"/>
                <c:pt idx="0">
                  <c:v>CREDIT CARD/ATM FRAUD</c:v>
                </c:pt>
                <c:pt idx="1">
                  <c:v>FALSE/PRETENSE SCHEME</c:v>
                </c:pt>
                <c:pt idx="2">
                  <c:v>welfare Fraud</c:v>
                </c:pt>
                <c:pt idx="3">
                  <c:v>WIRE Fraud</c:v>
                </c:pt>
                <c:pt idx="4">
                  <c:v>IDENTITY FRAUD</c:v>
                </c:pt>
              </c:strCache>
            </c:strRef>
          </c:cat>
          <c:val>
            <c:numRef>
              <c:f>'Boston crimes dataset'!$B$3:$B$8</c:f>
              <c:numCache>
                <c:formatCode>General</c:formatCode>
                <c:ptCount val="6"/>
                <c:pt idx="0">
                  <c:v>2018</c:v>
                </c:pt>
                <c:pt idx="1">
                  <c:v>2022</c:v>
                </c:pt>
                <c:pt idx="2">
                  <c:v>2023</c:v>
                </c:pt>
                <c:pt idx="3">
                  <c:v>2023</c:v>
                </c:pt>
                <c:pt idx="4">
                  <c:v>2019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71B-4B97-91A6-C407BDFE4E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40"/>
        <c:overlap val="-27"/>
        <c:axId val="715577199"/>
        <c:axId val="715572879"/>
      </c:barChart>
      <c:lineChart>
        <c:grouping val="standard"/>
        <c:varyColors val="0"/>
        <c:ser>
          <c:idx val="1"/>
          <c:order val="1"/>
          <c:tx>
            <c:strRef>
              <c:f>'Boston crimes dataset'!$C$1</c:f>
              <c:strCache>
                <c:ptCount val="1"/>
                <c:pt idx="0">
                  <c:v>Month 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'Boston crimes dataset'!$A$3:$A$8</c:f>
              <c:strCache>
                <c:ptCount val="5"/>
                <c:pt idx="0">
                  <c:v>CREDIT CARD/ATM FRAUD</c:v>
                </c:pt>
                <c:pt idx="1">
                  <c:v>FALSE/PRETENSE SCHEME</c:v>
                </c:pt>
                <c:pt idx="2">
                  <c:v>welfare Fraud</c:v>
                </c:pt>
                <c:pt idx="3">
                  <c:v>WIRE Fraud</c:v>
                </c:pt>
                <c:pt idx="4">
                  <c:v>IDENTITY FRAUD</c:v>
                </c:pt>
              </c:strCache>
            </c:strRef>
          </c:cat>
          <c:val>
            <c:numRef>
              <c:f>'Boston crimes dataset'!$C$3:$C$8</c:f>
              <c:numCache>
                <c:formatCode>General</c:formatCode>
                <c:ptCount val="6"/>
                <c:pt idx="0">
                  <c:v>1</c:v>
                </c:pt>
                <c:pt idx="1">
                  <c:v>10</c:v>
                </c:pt>
                <c:pt idx="2">
                  <c:v>1</c:v>
                </c:pt>
                <c:pt idx="3">
                  <c:v>1</c:v>
                </c:pt>
                <c:pt idx="4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71B-4B97-91A6-C407BDFE4E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929055"/>
        <c:axId val="52927615"/>
      </c:lineChart>
      <c:catAx>
        <c:axId val="715577199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E"/>
                  <a:t>CRIME&amp;Types FRAUD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5572879"/>
        <c:crosses val="autoZero"/>
        <c:auto val="1"/>
        <c:lblAlgn val="ctr"/>
        <c:lblOffset val="100"/>
        <c:noMultiLvlLbl val="0"/>
      </c:catAx>
      <c:valAx>
        <c:axId val="715572879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E"/>
                  <a:t>Year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5577199"/>
        <c:crosses val="autoZero"/>
        <c:crossBetween val="between"/>
      </c:valAx>
      <c:valAx>
        <c:axId val="52927615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E"/>
                  <a:t>Month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929055"/>
        <c:crosses val="max"/>
        <c:crossBetween val="between"/>
      </c:valAx>
      <c:catAx>
        <c:axId val="52929055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52927615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pivotSource>
    <c:name>[Boston crimes dataset.xlsm]Sheet2!PivotTable1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'Neighbourhoods' </a:t>
            </a:r>
            <a:r>
              <a:rPr lang="en-US">
                <a:solidFill>
                  <a:srgbClr val="DD5A13"/>
                </a:solidFill>
              </a:rPr>
              <a:t>Dorchester</a:t>
            </a:r>
            <a:r>
              <a:rPr lang="en-US"/>
              <a:t> and </a:t>
            </a:r>
            <a:r>
              <a:rPr lang="en-US">
                <a:solidFill>
                  <a:srgbClr val="DD5A13"/>
                </a:solidFill>
              </a:rPr>
              <a:t>West End</a:t>
            </a:r>
            <a:r>
              <a:rPr lang="en-US"/>
              <a:t> have noticeably higher 'Months'</a:t>
            </a:r>
            <a:r>
              <a:rPr lang="en-US" baseline="0"/>
              <a:t> for crimes of Sexual Assaults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3"/>
          </a:solidFill>
          <a:ln>
            <a:noFill/>
          </a:ln>
          <a:effectLst/>
        </c:spPr>
      </c:pivotFmt>
      <c:pivotFmt>
        <c:idx val="2"/>
        <c:spPr>
          <a:solidFill>
            <a:schemeClr val="accent3"/>
          </a:solidFill>
          <a:ln>
            <a:noFill/>
          </a:ln>
          <a:effectLst/>
        </c:spPr>
      </c:pivotFmt>
    </c:pivotFmts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Sheet2!$B$2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A16C-4BE3-9EFF-293F9266277E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A16C-4BE3-9EFF-293F9266277E}"/>
              </c:ext>
            </c:extLst>
          </c:dPt>
          <c:cat>
            <c:strRef>
              <c:f>Sheet2!$A$3:$A$10</c:f>
              <c:strCache>
                <c:ptCount val="7"/>
                <c:pt idx="0">
                  <c:v>West End</c:v>
                </c:pt>
                <c:pt idx="1">
                  <c:v>Dorchester</c:v>
                </c:pt>
                <c:pt idx="2">
                  <c:v>Roxbury</c:v>
                </c:pt>
                <c:pt idx="3">
                  <c:v>South End</c:v>
                </c:pt>
                <c:pt idx="4">
                  <c:v>South Boston</c:v>
                </c:pt>
                <c:pt idx="5">
                  <c:v>Brighton</c:v>
                </c:pt>
                <c:pt idx="6">
                  <c:v>(blank)</c:v>
                </c:pt>
              </c:strCache>
            </c:strRef>
          </c:cat>
          <c:val>
            <c:numRef>
              <c:f>Sheet2!$B$3:$B$10</c:f>
              <c:numCache>
                <c:formatCode>General</c:formatCode>
                <c:ptCount val="7"/>
                <c:pt idx="0">
                  <c:v>11</c:v>
                </c:pt>
                <c:pt idx="1">
                  <c:v>11</c:v>
                </c:pt>
                <c:pt idx="2">
                  <c:v>6</c:v>
                </c:pt>
                <c:pt idx="3">
                  <c:v>5</c:v>
                </c:pt>
                <c:pt idx="4">
                  <c:v>4</c:v>
                </c:pt>
                <c:pt idx="5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16C-4BE3-9EFF-293F926627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overlap val="100"/>
        <c:axId val="481661663"/>
        <c:axId val="498049631"/>
      </c:barChart>
      <c:catAx>
        <c:axId val="481661663"/>
        <c:scaling>
          <c:orientation val="maxMin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E"/>
                  <a:t>Neighbourhood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8049631"/>
        <c:crosses val="autoZero"/>
        <c:auto val="1"/>
        <c:lblAlgn val="ctr"/>
        <c:lblOffset val="100"/>
        <c:noMultiLvlLbl val="0"/>
      </c:catAx>
      <c:valAx>
        <c:axId val="49804963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E"/>
                  <a:t>Month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1661663"/>
        <c:crosses val="max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[Boston crimes dataset.xlsm]Sheet5!PivotTable3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'Neighbourhoods' </a:t>
            </a:r>
            <a:r>
              <a:rPr lang="en-US">
                <a:solidFill>
                  <a:srgbClr val="DD5A13"/>
                </a:solidFill>
              </a:rPr>
              <a:t>Beacon Hill</a:t>
            </a:r>
            <a:r>
              <a:rPr lang="en-US"/>
              <a:t> and </a:t>
            </a:r>
            <a:r>
              <a:rPr lang="en-US">
                <a:solidFill>
                  <a:srgbClr val="DD5A13"/>
                </a:solidFill>
              </a:rPr>
              <a:t>Dorchester</a:t>
            </a:r>
            <a:r>
              <a:rPr lang="en-US"/>
              <a:t> have noticeably higher 'Total</a:t>
            </a:r>
            <a:r>
              <a:rPr lang="en-US" baseline="0"/>
              <a:t> Count</a:t>
            </a:r>
            <a:r>
              <a:rPr lang="en-US"/>
              <a:t>'</a:t>
            </a:r>
            <a:r>
              <a:rPr lang="en-US" baseline="0"/>
              <a:t> for the Crime Murder&amp;Death 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rgbClr val="D2D2D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ED7331"/>
          </a:solidFill>
          <a:ln>
            <a:noFill/>
          </a:ln>
          <a:effectLst/>
        </c:spPr>
      </c:pivotFmt>
      <c:pivotFmt>
        <c:idx val="2"/>
        <c:spPr>
          <a:solidFill>
            <a:srgbClr val="ED7331"/>
          </a:solidFill>
          <a:ln>
            <a:noFill/>
          </a:ln>
          <a:effectLst/>
        </c:spPr>
      </c:pivotFmt>
    </c:pivotFmts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Sheet5!$B$2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rgbClr val="D2D2D2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ED733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8B83-4D8B-BF68-85FD66C3A145}"/>
              </c:ext>
            </c:extLst>
          </c:dPt>
          <c:dPt>
            <c:idx val="1"/>
            <c:invertIfNegative val="0"/>
            <c:bubble3D val="0"/>
            <c:spPr>
              <a:solidFill>
                <a:srgbClr val="ED733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8B83-4D8B-BF68-85FD66C3A145}"/>
              </c:ext>
            </c:extLst>
          </c:dPt>
          <c:cat>
            <c:strRef>
              <c:f>Sheet5!$A$3:$A$7</c:f>
              <c:strCache>
                <c:ptCount val="4"/>
                <c:pt idx="0">
                  <c:v>Beacon Hill</c:v>
                </c:pt>
                <c:pt idx="1">
                  <c:v>Dorchester</c:v>
                </c:pt>
                <c:pt idx="2">
                  <c:v>Downtown</c:v>
                </c:pt>
                <c:pt idx="3">
                  <c:v>Mattapan</c:v>
                </c:pt>
              </c:strCache>
            </c:strRef>
          </c:cat>
          <c:val>
            <c:numRef>
              <c:f>Sheet5!$B$3:$B$7</c:f>
              <c:numCache>
                <c:formatCode>General</c:formatCode>
                <c:ptCount val="4"/>
                <c:pt idx="0">
                  <c:v>12</c:v>
                </c:pt>
                <c:pt idx="1">
                  <c:v>12</c:v>
                </c:pt>
                <c:pt idx="2">
                  <c:v>2</c:v>
                </c:pt>
                <c:pt idx="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B83-4D8B-BF68-85FD66C3A1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overlap val="100"/>
        <c:axId val="498050591"/>
        <c:axId val="498051071"/>
      </c:barChart>
      <c:catAx>
        <c:axId val="498050591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8051071"/>
        <c:crosses val="autoZero"/>
        <c:auto val="1"/>
        <c:lblAlgn val="ctr"/>
        <c:lblOffset val="100"/>
        <c:noMultiLvlLbl val="0"/>
      </c:catAx>
      <c:valAx>
        <c:axId val="49805107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E"/>
                  <a:t>Total</a:t>
                </a:r>
                <a:r>
                  <a:rPr lang="en-IE" baseline="0"/>
                  <a:t> count</a:t>
                </a:r>
              </a:p>
              <a:p>
                <a:pPr>
                  <a:defRPr/>
                </a:pPr>
                <a:endParaRPr lang="en-IE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8050591"/>
        <c:crosses val="max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[Boston crimes dataset.xlsm]Sheet4!PivotTable2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>
                <a:solidFill>
                  <a:srgbClr val="DD5A13"/>
                </a:solidFill>
              </a:rPr>
              <a:t>Murder&amp;Death</a:t>
            </a:r>
            <a:r>
              <a:rPr lang="en-US" baseline="0">
                <a:solidFill>
                  <a:srgbClr val="DD5A13"/>
                </a:solidFill>
              </a:rPr>
              <a:t> Crimes</a:t>
            </a:r>
            <a:r>
              <a:rPr lang="en-US"/>
              <a:t> decreases over time.</a:t>
            </a:r>
          </a:p>
        </c:rich>
      </c:tx>
      <c:layout>
        <c:manualLayout>
          <c:xMode val="edge"/>
          <c:yMode val="edge"/>
          <c:x val="0.12766666666666668"/>
          <c:y val="5.555555555555555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ln w="28575" cap="rnd">
            <a:solidFill>
              <a:srgbClr val="ED7331"/>
            </a:solidFill>
            <a:prstDash val="solid"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Sheet4!$B$2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rgbClr val="ED7331"/>
              </a:solidFill>
              <a:prstDash val="solid"/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rgbClr val="ED733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Sheet4!$A$3:$A$6</c:f>
              <c:strCache>
                <c:ptCount val="3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</c:strCache>
            </c:strRef>
          </c:cat>
          <c:val>
            <c:numRef>
              <c:f>Sheet4!$B$3:$B$6</c:f>
              <c:numCache>
                <c:formatCode>General</c:formatCode>
                <c:ptCount val="3"/>
                <c:pt idx="0">
                  <c:v>24</c:v>
                </c:pt>
                <c:pt idx="1">
                  <c:v>1</c:v>
                </c:pt>
                <c:pt idx="2">
                  <c:v>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E06-48A6-98B8-67746EFDB2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095614335"/>
        <c:axId val="2095614815"/>
      </c:lineChart>
      <c:catAx>
        <c:axId val="2095614335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E"/>
                  <a:t>YEAR</a:t>
                </a:r>
              </a:p>
              <a:p>
                <a:pPr>
                  <a:defRPr/>
                </a:pPr>
                <a:endParaRPr lang="en-IE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95614815"/>
        <c:crosses val="autoZero"/>
        <c:auto val="1"/>
        <c:lblAlgn val="ctr"/>
        <c:lblOffset val="100"/>
        <c:noMultiLvlLbl val="0"/>
      </c:catAx>
      <c:valAx>
        <c:axId val="20956148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total Count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9561433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[Boston crimes dataset.xlsm]Sheet7!PivotTable4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For Neighbourhood Dorchester', 'ASSAULT&amp;Drugs' Crime Aggravated accounts for the majority of Total Count.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</c:pivotFmts>
    <c:plotArea>
      <c:layout/>
      <c:doughnutChart>
        <c:varyColors val="1"/>
        <c:ser>
          <c:idx val="0"/>
          <c:order val="0"/>
          <c:tx>
            <c:strRef>
              <c:f>Sheet7!$B$4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2-1757-4DC0-8018-3A3BCBA124E5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C1A2-4F09-8723-1B8868F7A9CA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Sheet7!$A$5:$A$7</c:f>
              <c:strCache>
                <c:ptCount val="2"/>
                <c:pt idx="0">
                  <c:v>Aggravated</c:v>
                </c:pt>
                <c:pt idx="1">
                  <c:v>Child Endangergment</c:v>
                </c:pt>
              </c:strCache>
            </c:strRef>
          </c:cat>
          <c:val>
            <c:numRef>
              <c:f>Sheet7!$B$5:$B$7</c:f>
              <c:numCache>
                <c:formatCode>General</c:formatCode>
                <c:ptCount val="2"/>
                <c:pt idx="0">
                  <c:v>11</c:v>
                </c:pt>
                <c:pt idx="1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757-4DC0-8018-3A3BCBA124E5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legend>
      <c:legendPos val="r"/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[Boston crimes dataset.xlsm]Sheet9!PivotTable6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E"/>
              <a:t>Assault</a:t>
            </a:r>
            <a:r>
              <a:rPr lang="en-IE" baseline="0"/>
              <a:t> &amp; Drug crimes location wise</a:t>
            </a:r>
          </a:p>
          <a:p>
            <a:pPr>
              <a:defRPr/>
            </a:pPr>
            <a:r>
              <a:rPr lang="en-IE" baseline="0"/>
              <a:t> </a:t>
            </a:r>
            <a:endParaRPr lang="en-IE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</c:pivotFmts>
    <c:plotArea>
      <c:layout/>
      <c:doughnutChart>
        <c:varyColors val="1"/>
        <c:ser>
          <c:idx val="0"/>
          <c:order val="0"/>
          <c:tx>
            <c:strRef>
              <c:f>Sheet9!$C$2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explosion val="3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2-32ED-4624-AED2-55918C7E603D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807C-45C4-ABD4-D1C5A796271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807C-45C4-ABD4-D1C5A7962719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807C-45C4-ABD4-D1C5A7962719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9796-4EC1-9FCB-87F9837ACDB1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B-9796-4EC1-9FCB-87F9837ACDB1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D-9796-4EC1-9FCB-87F9837ACDB1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multiLvlStrRef>
              <c:f>Sheet9!$A$3:$B$14</c:f>
              <c:multiLvlStrCache>
                <c:ptCount val="7"/>
                <c:lvl>
                  <c:pt idx="0">
                    <c:v>Drugs-Possesion/Sale/Manufacturing/Use</c:v>
                  </c:pt>
                  <c:pt idx="1">
                    <c:v>possession of Drug PARAPANALIA</c:v>
                  </c:pt>
                  <c:pt idx="2">
                    <c:v>Verbal Dispute</c:v>
                  </c:pt>
                  <c:pt idx="3">
                    <c:v>Aggravated</c:v>
                  </c:pt>
                  <c:pt idx="4">
                    <c:v>Child Endangergment</c:v>
                  </c:pt>
                  <c:pt idx="5">
                    <c:v>Kidnapping/Custodial Kidnapping/Abduction</c:v>
                  </c:pt>
                  <c:pt idx="6">
                    <c:v>Simple</c:v>
                  </c:pt>
                </c:lvl>
                <c:lvl>
                  <c:pt idx="0">
                    <c:v>Roxbury</c:v>
                  </c:pt>
                  <c:pt idx="3">
                    <c:v>Dorchester</c:v>
                  </c:pt>
                  <c:pt idx="5">
                    <c:v>Hyde Park </c:v>
                  </c:pt>
                  <c:pt idx="6">
                    <c:v>Downtown</c:v>
                  </c:pt>
                </c:lvl>
              </c:multiLvlStrCache>
            </c:multiLvlStrRef>
          </c:cat>
          <c:val>
            <c:numRef>
              <c:f>Sheet9!$C$3:$C$14</c:f>
              <c:numCache>
                <c:formatCode>General</c:formatCode>
                <c:ptCount val="7"/>
                <c:pt idx="0">
                  <c:v>12</c:v>
                </c:pt>
                <c:pt idx="1">
                  <c:v>4</c:v>
                </c:pt>
                <c:pt idx="2">
                  <c:v>11</c:v>
                </c:pt>
                <c:pt idx="3">
                  <c:v>11</c:v>
                </c:pt>
                <c:pt idx="4">
                  <c:v>4</c:v>
                </c:pt>
                <c:pt idx="5">
                  <c:v>1</c:v>
                </c:pt>
                <c:pt idx="6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2ED-4624-AED2-55918C7E603D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legend>
      <c:legendPos val="r"/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[Boston crimes dataset.xlsm]Sheet11!PivotTable12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cap="all" spc="15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E"/>
              <a:t>FRaud</a:t>
            </a:r>
            <a:r>
              <a:rPr lang="en-IE" baseline="0"/>
              <a:t> Crimes yearly with neighbouhoods located of each </a:t>
            </a:r>
            <a:endParaRPr lang="en-IE"/>
          </a:p>
        </c:rich>
      </c:tx>
      <c:layout>
        <c:manualLayout>
          <c:xMode val="edge"/>
          <c:yMode val="edge"/>
          <c:x val="0.10494479512375003"/>
          <c:y val="5.275346773603763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cap="all" spc="15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pattFill prst="narHorz">
            <a:fgClr>
              <a:schemeClr val="accent1"/>
            </a:fgClr>
            <a:bgClr>
              <a:schemeClr val="accent1">
                <a:lumMod val="20000"/>
                <a:lumOff val="80000"/>
              </a:schemeClr>
            </a:bgClr>
          </a:pattFill>
          <a:ln>
            <a:noFill/>
          </a:ln>
          <a:effectLst>
            <a:innerShdw blurRad="114300">
              <a:schemeClr val="accent1"/>
            </a:inn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Sheet11!$B$1</c:f>
              <c:strCache>
                <c:ptCount val="1"/>
                <c:pt idx="0">
                  <c:v>Total</c:v>
                </c:pt>
              </c:strCache>
            </c:strRef>
          </c:tx>
          <c:spPr>
            <a:pattFill prst="narHorz">
              <a:fgClr>
                <a:schemeClr val="accent1"/>
              </a:fgClr>
              <a:bgClr>
                <a:schemeClr val="accent1">
                  <a:lumMod val="20000"/>
                  <a:lumOff val="80000"/>
                </a:schemeClr>
              </a:bgClr>
            </a:pattFill>
            <a:ln>
              <a:noFill/>
            </a:ln>
            <a:effectLst>
              <a:innerShdw blurRad="114300">
                <a:schemeClr val="accent1"/>
              </a:innerShdw>
            </a:effectLst>
          </c:spPr>
          <c:invertIfNegative val="0"/>
          <c:cat>
            <c:multiLvlStrRef>
              <c:f>Sheet11!$A$2:$A$10</c:f>
              <c:multiLvlStrCache>
                <c:ptCount val="4"/>
                <c:lvl>
                  <c:pt idx="0">
                    <c:v>Dorchester</c:v>
                  </c:pt>
                  <c:pt idx="1">
                    <c:v>East Boston </c:v>
                  </c:pt>
                  <c:pt idx="2">
                    <c:v>Beacon Hill</c:v>
                  </c:pt>
                  <c:pt idx="3">
                    <c:v>Roxbury</c:v>
                  </c:pt>
                </c:lvl>
                <c:lvl>
                  <c:pt idx="0">
                    <c:v>FALSE/PRETENSE SCHEME</c:v>
                  </c:pt>
                  <c:pt idx="1">
                    <c:v>IDENTITY FRAUD</c:v>
                  </c:pt>
                  <c:pt idx="2">
                    <c:v>welfare Fraud</c:v>
                  </c:pt>
                  <c:pt idx="3">
                    <c:v>WIRE Fraud</c:v>
                  </c:pt>
                </c:lvl>
              </c:multiLvlStrCache>
            </c:multiLvlStrRef>
          </c:cat>
          <c:val>
            <c:numRef>
              <c:f>Sheet11!$B$2:$B$10</c:f>
              <c:numCache>
                <c:formatCode>General</c:formatCode>
                <c:ptCount val="4"/>
                <c:pt idx="0">
                  <c:v>2018</c:v>
                </c:pt>
                <c:pt idx="1">
                  <c:v>2023</c:v>
                </c:pt>
                <c:pt idx="2">
                  <c:v>2022</c:v>
                </c:pt>
                <c:pt idx="3">
                  <c:v>2023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04A-427C-8385-D96E84AC74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64"/>
        <c:overlap val="-22"/>
        <c:axId val="975364192"/>
        <c:axId val="975359392"/>
      </c:barChart>
      <c:catAx>
        <c:axId val="97536419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E"/>
                  <a:t>CRIME TYPES &amp; NEIGHBOURHOOD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75359392"/>
        <c:crosses val="autoZero"/>
        <c:auto val="1"/>
        <c:lblAlgn val="ctr"/>
        <c:lblOffset val="100"/>
        <c:noMultiLvlLbl val="0"/>
      </c:catAx>
      <c:valAx>
        <c:axId val="975359392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E"/>
                  <a:t>YEAR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753641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Yearly Larceny Theft&amp; Burglary Crimes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Sheet12!$B$1:$B$2</c:f>
              <c:strCache>
                <c:ptCount val="2"/>
                <c:pt idx="0">
                  <c:v>Year</c:v>
                </c:pt>
              </c:strCache>
            </c:strRef>
          </c:tx>
          <c:dPt>
            <c:idx val="0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0B76-43ED-B494-0D5FEB2E3B23}"/>
              </c:ext>
            </c:extLst>
          </c:dPt>
          <c:dPt>
            <c:idx val="1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0B76-43ED-B494-0D5FEB2E3B23}"/>
              </c:ext>
            </c:extLst>
          </c:dPt>
          <c:dPt>
            <c:idx val="2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0B76-43ED-B494-0D5FEB2E3B23}"/>
              </c:ext>
            </c:extLst>
          </c:dPt>
          <c:dPt>
            <c:idx val="3"/>
            <c:bubble3D val="0"/>
            <c:spPr>
              <a:solidFill>
                <a:schemeClr val="accent2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0B76-43ED-B494-0D5FEB2E3B23}"/>
              </c:ext>
            </c:extLst>
          </c:dPt>
          <c:dPt>
            <c:idx val="4"/>
            <c:bubble3D val="0"/>
            <c:spPr>
              <a:solidFill>
                <a:schemeClr val="accent4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75CF-4791-8C90-4550F22991EC}"/>
              </c:ext>
            </c:extLst>
          </c:dPt>
          <c:dPt>
            <c:idx val="5"/>
            <c:bubble3D val="0"/>
            <c:spPr>
              <a:solidFill>
                <a:schemeClr val="accent6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B-0B76-43ED-B494-0D5FEB2E3B23}"/>
              </c:ext>
            </c:extLst>
          </c:dPt>
          <c:dPt>
            <c:idx val="6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D-0B76-43ED-B494-0D5FEB2E3B23}"/>
              </c:ext>
            </c:extLst>
          </c:dPt>
          <c:dPt>
            <c:idx val="7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2-75CF-4791-8C90-4550F22991EC}"/>
              </c:ext>
            </c:extLst>
          </c:dPt>
          <c:dLbls>
            <c:dLbl>
              <c:idx val="4"/>
              <c:layout>
                <c:manualLayout>
                  <c:x val="7.85784636452216E-2"/>
                  <c:y val="-0.13371876410713615"/>
                </c:manualLayout>
              </c:layout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75CF-4791-8C90-4550F22991EC}"/>
                </c:ext>
              </c:extLst>
            </c:dLbl>
            <c:dLbl>
              <c:idx val="7"/>
              <c:layout>
                <c:manualLayout>
                  <c:x val="6.7497607949507946E-2"/>
                  <c:y val="0.18495145082105252"/>
                </c:manualLayout>
              </c:layout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75CF-4791-8C90-4550F22991EC}"/>
                </c:ext>
              </c:extLst>
            </c:dLbl>
            <c:spPr>
              <a:pattFill prst="pct75">
                <a:fgClr>
                  <a:schemeClr val="dk1">
                    <a:lumMod val="75000"/>
                    <a:lumOff val="25000"/>
                  </a:schemeClr>
                </a:fgClr>
                <a:bgClr>
                  <a:schemeClr val="dk1">
                    <a:lumMod val="65000"/>
                    <a:lumOff val="35000"/>
                  </a:scheme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Sheet12!$A$3:$A$10</c:f>
              <c:strCache>
                <c:ptCount val="8"/>
                <c:pt idx="0">
                  <c:v>Purse snatch-NoForce</c:v>
                </c:pt>
                <c:pt idx="1">
                  <c:v>Shoplifting</c:v>
                </c:pt>
                <c:pt idx="2">
                  <c:v>Theft from building</c:v>
                </c:pt>
                <c:pt idx="3">
                  <c:v>Larceny All others</c:v>
                </c:pt>
                <c:pt idx="4">
                  <c:v>Commercial Burglary</c:v>
                </c:pt>
                <c:pt idx="5">
                  <c:v>Resedential Burglary</c:v>
                </c:pt>
                <c:pt idx="6">
                  <c:v>Robbery</c:v>
                </c:pt>
                <c:pt idx="7">
                  <c:v>POSSESSION OF BURGLARIOUS TOOLS</c:v>
                </c:pt>
              </c:strCache>
            </c:strRef>
          </c:cat>
          <c:val>
            <c:numRef>
              <c:f>Sheet12!$B$3:$B$10</c:f>
              <c:numCache>
                <c:formatCode>General</c:formatCode>
                <c:ptCount val="8"/>
                <c:pt idx="0">
                  <c:v>2023</c:v>
                </c:pt>
                <c:pt idx="1">
                  <c:v>2022</c:v>
                </c:pt>
                <c:pt idx="2">
                  <c:v>2022</c:v>
                </c:pt>
                <c:pt idx="3">
                  <c:v>2023</c:v>
                </c:pt>
                <c:pt idx="4">
                  <c:v>2023</c:v>
                </c:pt>
                <c:pt idx="5">
                  <c:v>2023</c:v>
                </c:pt>
                <c:pt idx="6">
                  <c:v>2022</c:v>
                </c:pt>
                <c:pt idx="7">
                  <c:v>2024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5CF-4791-8C90-4550F22991EC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Monthly Larceny Theft &amp; Burglary</a:t>
            </a:r>
            <a:r>
              <a:rPr lang="en-US" baseline="0"/>
              <a:t> Crimes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15"/>
      <c:rotY val="2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line3DChart>
        <c:grouping val="standard"/>
        <c:varyColors val="0"/>
        <c:ser>
          <c:idx val="0"/>
          <c:order val="0"/>
          <c:tx>
            <c:strRef>
              <c:f>Sheet12!$Q$2</c:f>
              <c:strCache>
                <c:ptCount val="1"/>
                <c:pt idx="0">
                  <c:v>Month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  <a:sp3d/>
          </c:spP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Sheet12!$P$3:$P$11</c:f>
              <c:strCache>
                <c:ptCount val="9"/>
                <c:pt idx="0">
                  <c:v>LARCENY THEFT&amp;BURGLARY</c:v>
                </c:pt>
                <c:pt idx="1">
                  <c:v>Purse snatch-NoForce</c:v>
                </c:pt>
                <c:pt idx="2">
                  <c:v>Shoplifting</c:v>
                </c:pt>
                <c:pt idx="3">
                  <c:v>Theft from building</c:v>
                </c:pt>
                <c:pt idx="4">
                  <c:v>Larceny All others</c:v>
                </c:pt>
                <c:pt idx="5">
                  <c:v>Commercial Burglary</c:v>
                </c:pt>
                <c:pt idx="6">
                  <c:v>Resedential Burglary</c:v>
                </c:pt>
                <c:pt idx="7">
                  <c:v>Robbery</c:v>
                </c:pt>
                <c:pt idx="8">
                  <c:v>POSSESSION OF BURGLARIOUS TOOLS</c:v>
                </c:pt>
              </c:strCache>
            </c:strRef>
          </c:cat>
          <c:val>
            <c:numRef>
              <c:f>Sheet12!$Q$3:$Q$11</c:f>
              <c:numCache>
                <c:formatCode>General</c:formatCode>
                <c:ptCount val="9"/>
                <c:pt idx="1">
                  <c:v>3</c:v>
                </c:pt>
                <c:pt idx="2">
                  <c:v>11</c:v>
                </c:pt>
                <c:pt idx="3">
                  <c:v>11</c:v>
                </c:pt>
                <c:pt idx="4">
                  <c:v>1</c:v>
                </c:pt>
                <c:pt idx="5">
                  <c:v>3</c:v>
                </c:pt>
                <c:pt idx="6">
                  <c:v>1</c:v>
                </c:pt>
                <c:pt idx="7">
                  <c:v>11</c:v>
                </c:pt>
                <c:pt idx="8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B06-4C30-BF7E-BDCBE06825BF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axId val="1919312800"/>
        <c:axId val="1919326240"/>
        <c:axId val="2066901296"/>
      </c:line3DChart>
      <c:catAx>
        <c:axId val="19193128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19326240"/>
        <c:crosses val="autoZero"/>
        <c:auto val="1"/>
        <c:lblAlgn val="ctr"/>
        <c:lblOffset val="100"/>
        <c:noMultiLvlLbl val="0"/>
      </c:catAx>
      <c:valAx>
        <c:axId val="1919326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19312800"/>
        <c:crosses val="autoZero"/>
        <c:crossBetween val="between"/>
      </c:valAx>
      <c:serAx>
        <c:axId val="2066901296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19326240"/>
        <c:crosses val="autoZero"/>
      </c:ser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cap="all" spc="5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E"/>
              <a:t>Monthly M/V Accident crimes</a:t>
            </a:r>
          </a:p>
        </c:rich>
      </c:tx>
      <c:layout>
        <c:manualLayout>
          <c:xMode val="edge"/>
          <c:yMode val="edge"/>
          <c:x val="0.25286789151356082"/>
          <c:y val="4.166666666666666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cap="all" spc="5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Sheet10!$C$1:$C$2</c:f>
              <c:strCache>
                <c:ptCount val="2"/>
                <c:pt idx="0">
                  <c:v>Month</c:v>
                </c:pt>
              </c:strCache>
            </c:strRef>
          </c:tx>
          <c:spPr>
            <a:gradFill flip="none" rotWithShape="1">
              <a:gsLst>
                <a:gs pos="0">
                  <a:schemeClr val="accent1"/>
                </a:gs>
                <a:gs pos="75000">
                  <a:schemeClr val="accent1">
                    <a:lumMod val="60000"/>
                    <a:lumOff val="40000"/>
                  </a:schemeClr>
                </a:gs>
                <a:gs pos="51000">
                  <a:schemeClr val="accent1">
                    <a:alpha val="75000"/>
                  </a:schemeClr>
                </a:gs>
                <a:gs pos="100000">
                  <a:schemeClr val="accent1">
                    <a:lumMod val="20000"/>
                    <a:lumOff val="80000"/>
                    <a:alpha val="15000"/>
                  </a:schemeClr>
                </a:gs>
              </a:gsLst>
              <a:lin ang="10800000" scaled="1"/>
              <a:tileRect/>
            </a:gra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Sheet10!$A$3:$B$15</c15:sqref>
                  </c15:fullRef>
                  <c15:levelRef>
                    <c15:sqref>Sheet10!$A$3:$A$15</c15:sqref>
                  </c15:levelRef>
                </c:ext>
              </c:extLst>
              <c:f>Sheet10!$A$3:$A$15</c:f>
              <c:strCache>
                <c:ptCount val="13"/>
                <c:pt idx="0">
                  <c:v>Personal Injury</c:v>
                </c:pt>
                <c:pt idx="1">
                  <c:v>Property Damage</c:v>
                </c:pt>
                <c:pt idx="2">
                  <c:v>Involving Bicycle-Injury</c:v>
                </c:pt>
                <c:pt idx="3">
                  <c:v>Involving Bicycle-No Injury</c:v>
                </c:pt>
                <c:pt idx="4">
                  <c:v>Involving-Pedestrian Injury</c:v>
                </c:pt>
                <c:pt idx="5">
                  <c:v>Involving-Pedestrian No Injury</c:v>
                </c:pt>
                <c:pt idx="6">
                  <c:v>Other</c:v>
                </c:pt>
                <c:pt idx="7">
                  <c:v>Towed MV</c:v>
                </c:pt>
                <c:pt idx="8">
                  <c:v>Personal Injury</c:v>
                </c:pt>
                <c:pt idx="9">
                  <c:v>Police Vehicle</c:v>
                </c:pt>
                <c:pt idx="10">
                  <c:v>M/V Plates-Lost</c:v>
                </c:pt>
                <c:pt idx="11">
                  <c:v>Vandalism</c:v>
                </c:pt>
                <c:pt idx="12">
                  <c:v>M/V Accident Other city Vehicle</c:v>
                </c:pt>
              </c:strCache>
            </c:strRef>
          </c:cat>
          <c:val>
            <c:numRef>
              <c:f>Sheet10!$C$3:$C$15</c:f>
              <c:numCache>
                <c:formatCode>General</c:formatCode>
                <c:ptCount val="13"/>
                <c:pt idx="0">
                  <c:v>1</c:v>
                </c:pt>
                <c:pt idx="1">
                  <c:v>12</c:v>
                </c:pt>
                <c:pt idx="2">
                  <c:v>12</c:v>
                </c:pt>
                <c:pt idx="3">
                  <c:v>11</c:v>
                </c:pt>
                <c:pt idx="4">
                  <c:v>1</c:v>
                </c:pt>
                <c:pt idx="5">
                  <c:v>12</c:v>
                </c:pt>
                <c:pt idx="6">
                  <c:v>12</c:v>
                </c:pt>
                <c:pt idx="7">
                  <c:v>12</c:v>
                </c:pt>
                <c:pt idx="8">
                  <c:v>4</c:v>
                </c:pt>
                <c:pt idx="9">
                  <c:v>12</c:v>
                </c:pt>
                <c:pt idx="10">
                  <c:v>12</c:v>
                </c:pt>
                <c:pt idx="11">
                  <c:v>12</c:v>
                </c:pt>
                <c:pt idx="12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E7C-4732-878B-BEA1047405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26"/>
        <c:overlap val="-58"/>
        <c:axId val="1360889679"/>
        <c:axId val="1360891119"/>
      </c:barChart>
      <c:catAx>
        <c:axId val="1360889679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tx1">
                <a:lumMod val="15000"/>
                <a:lumOff val="85000"/>
              </a:schemeClr>
            </a:solidFill>
            <a:round/>
            <a:headEnd type="none" w="sm" len="sm"/>
            <a:tailEnd type="none" w="sm" len="sm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60891119"/>
        <c:crosses val="autoZero"/>
        <c:auto val="1"/>
        <c:lblAlgn val="ctr"/>
        <c:lblOffset val="100"/>
        <c:noMultiLvlLbl val="0"/>
      </c:catAx>
      <c:valAx>
        <c:axId val="1360891119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99000">
                    <a:schemeClr val="tx1">
                      <a:lumMod val="25000"/>
                      <a:lumOff val="75000"/>
                    </a:schemeClr>
                  </a:gs>
                  <a:gs pos="0">
                    <a:schemeClr val="tx1">
                      <a:lumMod val="15000"/>
                      <a:lumOff val="8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6088967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_xlchart.v2.0</cx:f>
      </cx:strDim>
      <cx:numDim type="val">
        <cx:f>_xlchart.v2.2</cx:f>
      </cx:numDim>
    </cx:data>
  </cx:chartData>
  <cx:chart>
    <cx:title pos="t" align="ctr" overlay="0">
      <cx:tx>
        <cx:rich>
          <a:bodyPr spcFirstLastPara="1" vertOverflow="ellipsis" horzOverflow="overflow" wrap="square" lIns="0" tIns="0" rIns="0" bIns="0" anchor="ctr" anchorCtr="1"/>
          <a:lstStyle/>
          <a:p>
            <a:pPr algn="ctr" rtl="0">
              <a:defRPr/>
            </a:pPr>
            <a:r>
              <a:rPr lang="en-US" sz="1400" b="0" i="0" u="none" strike="noStrike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Aptos Narrow" panose="02110004020202020204"/>
              </a:rPr>
              <a:t>M/V Accident crimes Monthly with neighbourhood located</a:t>
            </a:r>
            <a:r>
              <a:rPr lang="en-IE"/>
              <a:t> </a:t>
            </a:r>
            <a:endParaRPr lang="en-US"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Aptos Narrow" panose="02110004020202020204"/>
            </a:endParaRPr>
          </a:p>
        </cx:rich>
      </cx:tx>
    </cx:title>
    <cx:plotArea>
      <cx:plotAreaRegion>
        <cx:series layoutId="funnel" uniqueId="{5603BDF2-747B-4C29-A04A-BF36826D2DB4}">
          <cx:tx>
            <cx:txData>
              <cx:f>_xlchart.v2.1</cx:f>
              <cx:v>Month</cx:v>
            </cx:txData>
          </cx:tx>
          <cx:dataLabels>
            <cx:visibility seriesName="0" categoryName="0" value="1"/>
          </cx:dataLabels>
          <cx:dataId val="0"/>
        </cx:series>
      </cx:plotAreaRegion>
      <cx:axis id="0">
        <cx:catScaling gapWidth="0.0599999987"/>
        <cx:tickLabels/>
      </cx:axis>
    </cx:plotArea>
  </cx:chart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withinLinear" id="16">
  <a:schemeClr val="accent3"/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withinLinear" id="15">
  <a:schemeClr val="accent2"/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61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pattFill prst="dkDnDiag">
        <a:fgClr>
          <a:schemeClr val="lt1">
            <a:lumMod val="95000"/>
          </a:schemeClr>
        </a:fgClr>
        <a:bgClr>
          <a:schemeClr val="lt1"/>
        </a:bgClr>
      </a:patt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5000"/>
        </a:schemeClr>
      </a:solidFill>
      <a:ln w="9525"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317500" algn="ctr" rotWithShape="0">
          <a:prstClr val="black">
            <a:alpha val="25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20000"/>
          </a:prstClr>
        </a:outerShdw>
      </a:effectLst>
      <a:scene3d>
        <a:camera prst="orthographicFront"/>
        <a:lightRig rig="threePt" dir="t"/>
      </a:scene3d>
      <a:sp3d prstMaterial="matte"/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noFill/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8000"/>
        </a:schemeClr>
      </a:solidFill>
    </cs:spPr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65000"/>
        <a:lumOff val="3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28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>
      <cs:styleClr val="auto"/>
    </cs:fillRef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17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53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47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spPr>
      <a:ln w="12700" cap="flat" cmpd="sng" algn="ctr">
        <a:solidFill>
          <a:schemeClr val="lt1">
            <a:alpha val="25000"/>
          </a:schemeClr>
        </a:solidFill>
        <a:round/>
      </a:ln>
    </cs:spPr>
    <cs:defRPr sz="900" b="0" kern="1200" spc="10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  <cs:defRPr sz="10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22225">
        <a:solidFill>
          <a:schemeClr val="lt1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gradFill>
          <a:gsLst>
            <a:gs pos="79000">
              <a:schemeClr val="phClr"/>
            </a:gs>
            <a:gs pos="0">
              <a:schemeClr val="lt1">
                <a:alpha val="60000"/>
              </a:schemeClr>
            </a:gs>
          </a:gsLst>
          <a:lin ang="5400000" scaled="0"/>
        </a:gradFill>
        <a:round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53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3.xml><?xml version="1.0" encoding="utf-8"?>
<cs:chartStyle xmlns:cs="http://schemas.microsoft.com/office/drawing/2012/chartStyle" xmlns:a="http://schemas.openxmlformats.org/drawingml/2006/main" id="253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4.xml><?xml version="1.0" encoding="utf-8"?>
<cs:chartStyle xmlns:cs="http://schemas.microsoft.com/office/drawing/2012/chartStyle" xmlns:a="http://schemas.openxmlformats.org/drawingml/2006/main" id="203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9050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>
      <cs:styleClr val="auto"/>
    </cs:effectRef>
    <cs:fontRef idx="minor">
      <a:schemeClr val="dk1"/>
    </cs:fontRef>
    <cs:spPr>
      <a:pattFill prst="narHorz">
        <a:fgClr>
          <a:schemeClr val="phClr"/>
        </a:fgClr>
        <a:bgClr>
          <a:schemeClr val="phClr">
            <a:lumMod val="20000"/>
            <a:lumOff val="80000"/>
          </a:schemeClr>
        </a:bgClr>
      </a:pattFill>
      <a:effectLst>
        <a:innerShdw blurRad="114300">
          <a:schemeClr val="phClr"/>
        </a:inn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narHorz">
        <a:fgClr>
          <a:schemeClr val="phClr"/>
        </a:fgClr>
        <a:bgClr>
          <a:schemeClr val="phClr">
            <a:lumMod val="20000"/>
            <a:lumOff val="80000"/>
          </a:schemeClr>
        </a:bgClr>
      </a:pattFill>
      <a:effectLst>
        <a:innerShdw blurRad="114300">
          <a:schemeClr val="phClr"/>
        </a:inn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tx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800" b="1" kern="1200" cap="all" spc="1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5.xml><?xml version="1.0" encoding="utf-8"?>
<cs:chartStyle xmlns:cs="http://schemas.microsoft.com/office/drawing/2012/chartStyle" xmlns:a="http://schemas.openxmlformats.org/drawingml/2006/main" id="253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6.xml><?xml version="1.0" encoding="utf-8"?>
<cs:chartStyle xmlns:cs="http://schemas.microsoft.com/office/drawing/2012/chartStyle" xmlns:a="http://schemas.openxmlformats.org/drawingml/2006/main" id="30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41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18.xml><?xml version="1.0" encoding="utf-8"?>
<cs:chartStyle xmlns:cs="http://schemas.microsoft.com/office/drawing/2012/chartStyle" xmlns:a="http://schemas.openxmlformats.org/drawingml/2006/main" id="223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9050" cap="flat" cmpd="sng" algn="ctr">
        <a:solidFill>
          <a:schemeClr val="tx1">
            <a:lumMod val="15000"/>
            <a:lumOff val="85000"/>
          </a:schemeClr>
        </a:solidFill>
        <a:round/>
        <a:headEnd type="none" w="sm" len="sm"/>
        <a:tailEnd type="none" w="sm" len="sm"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bg1"/>
    </cs:fontRef>
    <cs:spPr>
      <a:solidFill>
        <a:schemeClr val="tx1">
          <a:lumMod val="50000"/>
          <a:lumOff val="50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gradFill flip="none" rotWithShape="1">
        <a:gsLst>
          <a:gs pos="0">
            <a:schemeClr val="phClr"/>
          </a:gs>
          <a:gs pos="75000">
            <a:schemeClr val="phClr">
              <a:lumMod val="60000"/>
              <a:lumOff val="40000"/>
            </a:schemeClr>
          </a:gs>
          <a:gs pos="51000">
            <a:schemeClr val="phClr">
              <a:alpha val="75000"/>
            </a:schemeClr>
          </a:gs>
          <a:gs pos="100000">
            <a:schemeClr val="phClr">
              <a:lumMod val="20000"/>
              <a:lumOff val="80000"/>
              <a:alpha val="15000"/>
            </a:schemeClr>
          </a:gs>
        </a:gsLst>
        <a:lin ang="10800000" scaled="1"/>
        <a:tileRect/>
      </a:gra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gradFill flip="none" rotWithShape="1">
        <a:gsLst>
          <a:gs pos="0">
            <a:schemeClr val="phClr"/>
          </a:gs>
          <a:gs pos="75000">
            <a:schemeClr val="phClr">
              <a:lumMod val="60000"/>
              <a:lumOff val="40000"/>
            </a:schemeClr>
          </a:gs>
          <a:gs pos="51000">
            <a:schemeClr val="phClr">
              <a:alpha val="75000"/>
            </a:schemeClr>
          </a:gs>
          <a:gs pos="100000">
            <a:schemeClr val="phClr">
              <a:lumMod val="20000"/>
              <a:lumOff val="80000"/>
              <a:alpha val="15000"/>
            </a:schemeClr>
          </a:gs>
        </a:gsLst>
        <a:lin ang="10800000" scaled="1"/>
        <a:tileRect/>
      </a:gra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gradFill>
        <a:gsLst>
          <a:gs pos="0">
            <a:schemeClr val="phClr"/>
          </a:gs>
          <a:gs pos="46000">
            <a:schemeClr val="phClr"/>
          </a:gs>
          <a:gs pos="100000">
            <a:schemeClr val="phClr">
              <a:lumMod val="20000"/>
              <a:lumOff val="80000"/>
              <a:alpha val="0"/>
            </a:schemeClr>
          </a:gs>
        </a:gsLst>
        <a:path path="circle">
          <a:fillToRect l="50000" t="-80000" r="50000" b="180000"/>
        </a:path>
      </a:gradFill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99000">
              <a:schemeClr val="tx1">
                <a:lumMod val="25000"/>
                <a:lumOff val="75000"/>
              </a:schemeClr>
            </a:gs>
            <a:gs pos="0">
              <a:schemeClr val="tx1">
                <a:lumMod val="15000"/>
                <a:lumOff val="8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tx1">
                <a:lumMod val="15000"/>
                <a:lumOff val="85000"/>
              </a:schemeClr>
            </a:gs>
            <a:gs pos="0">
              <a:schemeClr val="tx1">
                <a:lumMod val="5000"/>
                <a:lumOff val="9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  <a:headEnd type="none" w="sm" len="sm"/>
        <a:tailEnd type="none" w="sm" len="sm"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800" b="1" kern="1200" cap="all" spc="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6.xml"/><Relationship Id="rId1" Type="http://schemas.openxmlformats.org/officeDocument/2006/relationships/chart" Target="../charts/chart15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7.xml"/><Relationship Id="rId1" Type="http://schemas.microsoft.com/office/2014/relationships/chartEx" Target="../charts/chartEx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95249</xdr:colOff>
      <xdr:row>10</xdr:row>
      <xdr:rowOff>142874</xdr:rowOff>
    </xdr:from>
    <xdr:to>
      <xdr:col>7</xdr:col>
      <xdr:colOff>9524</xdr:colOff>
      <xdr:row>21</xdr:row>
      <xdr:rowOff>138111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F44BDBC-17AB-CAF2-983C-FCB9DBFF8A2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295274</xdr:colOff>
      <xdr:row>22</xdr:row>
      <xdr:rowOff>104774</xdr:rowOff>
    </xdr:from>
    <xdr:to>
      <xdr:col>13</xdr:col>
      <xdr:colOff>323849</xdr:colOff>
      <xdr:row>38</xdr:row>
      <xdr:rowOff>19049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92051A9D-499E-7FC8-428A-C8DCF647AAD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133351</xdr:colOff>
      <xdr:row>26</xdr:row>
      <xdr:rowOff>109538</xdr:rowOff>
    </xdr:from>
    <xdr:to>
      <xdr:col>20</xdr:col>
      <xdr:colOff>457201</xdr:colOff>
      <xdr:row>38</xdr:row>
      <xdr:rowOff>161926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3FA93B81-365A-8FAE-15DE-9D9DF510A9C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161924</xdr:colOff>
      <xdr:row>10</xdr:row>
      <xdr:rowOff>142875</xdr:rowOff>
    </xdr:from>
    <xdr:to>
      <xdr:col>6</xdr:col>
      <xdr:colOff>266699</xdr:colOff>
      <xdr:row>27</xdr:row>
      <xdr:rowOff>180975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9F586F7F-5F20-D8BF-611B-F8505285291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28</xdr:col>
      <xdr:colOff>581025</xdr:colOff>
      <xdr:row>16</xdr:row>
      <xdr:rowOff>42862</xdr:rowOff>
    </xdr:from>
    <xdr:to>
      <xdr:col>36</xdr:col>
      <xdr:colOff>504825</xdr:colOff>
      <xdr:row>31</xdr:row>
      <xdr:rowOff>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BBF8AE3B-2B71-C7B8-2CA7-0B23A7F868B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21</xdr:col>
      <xdr:colOff>295275</xdr:colOff>
      <xdr:row>17</xdr:row>
      <xdr:rowOff>76199</xdr:rowOff>
    </xdr:from>
    <xdr:to>
      <xdr:col>28</xdr:col>
      <xdr:colOff>247650</xdr:colOff>
      <xdr:row>29</xdr:row>
      <xdr:rowOff>128586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962634F1-A1D5-BB38-C350-E1AB564AEF8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14</xdr:col>
      <xdr:colOff>476251</xdr:colOff>
      <xdr:row>10</xdr:row>
      <xdr:rowOff>85725</xdr:rowOff>
    </xdr:from>
    <xdr:to>
      <xdr:col>21</xdr:col>
      <xdr:colOff>342901</xdr:colOff>
      <xdr:row>21</xdr:row>
      <xdr:rowOff>171451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77414922-2AA1-5320-F148-ACCCC1F2BBF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7</xdr:col>
      <xdr:colOff>203200</xdr:colOff>
      <xdr:row>9</xdr:row>
      <xdr:rowOff>88900</xdr:rowOff>
    </xdr:from>
    <xdr:to>
      <xdr:col>14</xdr:col>
      <xdr:colOff>352425</xdr:colOff>
      <xdr:row>22</xdr:row>
      <xdr:rowOff>47625</xdr:rowOff>
    </xdr:to>
    <xdr:graphicFrame macro="">
      <xdr:nvGraphicFramePr>
        <xdr:cNvPr id="10" name="Chart 9" descr="Chart type: Clustered Column, Line. 'Year', 'Month' by 'CRIME&amp;Types FRAUD'&#10;&#10;Description automatically generated">
          <a:extLst>
            <a:ext uri="{FF2B5EF4-FFF2-40B4-BE49-F238E27FC236}">
              <a16:creationId xmlns:a16="http://schemas.microsoft.com/office/drawing/2014/main" id="{E0EC3F28-F328-E1CB-FDD2-9575B519080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123824</xdr:colOff>
      <xdr:row>1</xdr:row>
      <xdr:rowOff>171450</xdr:rowOff>
    </xdr:from>
    <xdr:to>
      <xdr:col>10</xdr:col>
      <xdr:colOff>428625</xdr:colOff>
      <xdr:row>15</xdr:row>
      <xdr:rowOff>76199</xdr:rowOff>
    </xdr:to>
    <xdr:graphicFrame macro="">
      <xdr:nvGraphicFramePr>
        <xdr:cNvPr id="2" name="Chart 1" descr="Chart type: Stacked Bar. 'Neighbourhood': Dorchester and West End have noticeably higher 'Month'.&#10;&#10;Description automatically generated">
          <a:extLst>
            <a:ext uri="{FF2B5EF4-FFF2-40B4-BE49-F238E27FC236}">
              <a16:creationId xmlns:a16="http://schemas.microsoft.com/office/drawing/2014/main" id="{68F6DBE4-8351-4A83-76D8-95B269A327B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1</xdr:row>
      <xdr:rowOff>0</xdr:rowOff>
    </xdr:from>
    <xdr:to>
      <xdr:col>10</xdr:col>
      <xdr:colOff>304800</xdr:colOff>
      <xdr:row>15</xdr:row>
      <xdr:rowOff>76200</xdr:rowOff>
    </xdr:to>
    <xdr:graphicFrame macro="">
      <xdr:nvGraphicFramePr>
        <xdr:cNvPr id="2" name="Chart 1" descr="Chart type: Stacked Bar. 'Field5': Beacon Hill and Dorchester have noticeably higher 'Field4'.&#10;&#10;Description automatically generated">
          <a:extLst>
            <a:ext uri="{FF2B5EF4-FFF2-40B4-BE49-F238E27FC236}">
              <a16:creationId xmlns:a16="http://schemas.microsoft.com/office/drawing/2014/main" id="{D9DB0CDC-8240-A7A1-0CEC-B6C0CA56FFA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1</xdr:row>
      <xdr:rowOff>0</xdr:rowOff>
    </xdr:from>
    <xdr:to>
      <xdr:col>10</xdr:col>
      <xdr:colOff>304800</xdr:colOff>
      <xdr:row>15</xdr:row>
      <xdr:rowOff>76200</xdr:rowOff>
    </xdr:to>
    <xdr:graphicFrame macro="">
      <xdr:nvGraphicFramePr>
        <xdr:cNvPr id="2" name="Chart 1" descr="Chart type: Line. Field4 decreases over time.&#10;&#10;Description automatically generated">
          <a:extLst>
            <a:ext uri="{FF2B5EF4-FFF2-40B4-BE49-F238E27FC236}">
              <a16:creationId xmlns:a16="http://schemas.microsoft.com/office/drawing/2014/main" id="{D9CB9EB0-E7BA-F182-0831-4B9965BE8EE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1</xdr:row>
      <xdr:rowOff>0</xdr:rowOff>
    </xdr:from>
    <xdr:to>
      <xdr:col>10</xdr:col>
      <xdr:colOff>304800</xdr:colOff>
      <xdr:row>15</xdr:row>
      <xdr:rowOff>76200</xdr:rowOff>
    </xdr:to>
    <xdr:graphicFrame macro="">
      <xdr:nvGraphicFramePr>
        <xdr:cNvPr id="2" name="Chart 1" descr="Chart type: Doughnut. For 'Field4: Dorchester', 'ASSAULT&amp;Drugs': Aggravated accounts for the majority of 'Field3'.&#10;&#10;Description automatically generated">
          <a:extLst>
            <a:ext uri="{FF2B5EF4-FFF2-40B4-BE49-F238E27FC236}">
              <a16:creationId xmlns:a16="http://schemas.microsoft.com/office/drawing/2014/main" id="{F9D2F834-4044-9565-1961-450D89FB887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361949</xdr:colOff>
      <xdr:row>0</xdr:row>
      <xdr:rowOff>57150</xdr:rowOff>
    </xdr:from>
    <xdr:to>
      <xdr:col>13</xdr:col>
      <xdr:colOff>581025</xdr:colOff>
      <xdr:row>17</xdr:row>
      <xdr:rowOff>38099</xdr:rowOff>
    </xdr:to>
    <xdr:graphicFrame macro="">
      <xdr:nvGraphicFramePr>
        <xdr:cNvPr id="2" name="Chart 1" descr="Chart type: Doughnut. 'Field4': Roxbury accounts for the majority of 'Field3'.&#10;&#10;Description automatically generated">
          <a:extLst>
            <a:ext uri="{FF2B5EF4-FFF2-40B4-BE49-F238E27FC236}">
              <a16:creationId xmlns:a16="http://schemas.microsoft.com/office/drawing/2014/main" id="{6996909C-9C9C-16F6-CCC1-A8DD1386F0E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76200</xdr:colOff>
      <xdr:row>0</xdr:row>
      <xdr:rowOff>0</xdr:rowOff>
    </xdr:from>
    <xdr:to>
      <xdr:col>12</xdr:col>
      <xdr:colOff>571500</xdr:colOff>
      <xdr:row>16</xdr:row>
      <xdr:rowOff>28575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BEFDBBB-ADB5-6D23-A76C-8F8C3B75E02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428625</xdr:colOff>
      <xdr:row>0</xdr:row>
      <xdr:rowOff>0</xdr:rowOff>
    </xdr:from>
    <xdr:to>
      <xdr:col>14</xdr:col>
      <xdr:colOff>28575</xdr:colOff>
      <xdr:row>17</xdr:row>
      <xdr:rowOff>33337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03C4C16-156A-7ABD-347A-B77C24377C3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38099</xdr:colOff>
      <xdr:row>11</xdr:row>
      <xdr:rowOff>38100</xdr:rowOff>
    </xdr:from>
    <xdr:to>
      <xdr:col>22</xdr:col>
      <xdr:colOff>276225</xdr:colOff>
      <xdr:row>26</xdr:row>
      <xdr:rowOff>19050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63161B44-DEBC-7013-D91F-3FFE6EBBAC8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333375</xdr:colOff>
      <xdr:row>2</xdr:row>
      <xdr:rowOff>147637</xdr:rowOff>
    </xdr:from>
    <xdr:to>
      <xdr:col>14</xdr:col>
      <xdr:colOff>28575</xdr:colOff>
      <xdr:row>17</xdr:row>
      <xdr:rowOff>33337</xdr:rowOff>
    </xdr:to>
    <mc:AlternateContent xmlns:mc="http://schemas.openxmlformats.org/markup-compatibility/2006">
      <mc:Choice xmlns:cx2="http://schemas.microsoft.com/office/drawing/2015/10/21/chartex" Requires="cx2">
        <xdr:graphicFrame macro="">
          <xdr:nvGraphicFramePr>
            <xdr:cNvPr id="2" name="Chart 1">
              <a:extLst>
                <a:ext uri="{FF2B5EF4-FFF2-40B4-BE49-F238E27FC236}">
                  <a16:creationId xmlns:a16="http://schemas.microsoft.com/office/drawing/2014/main" id="{587EE5CD-2CB9-5F49-EFCF-B296CA34FEF2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990975" y="528637"/>
              <a:ext cx="4572000" cy="27432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IE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6</xdr:col>
      <xdr:colOff>314325</xdr:colOff>
      <xdr:row>2</xdr:row>
      <xdr:rowOff>157162</xdr:rowOff>
    </xdr:from>
    <xdr:to>
      <xdr:col>14</xdr:col>
      <xdr:colOff>9525</xdr:colOff>
      <xdr:row>17</xdr:row>
      <xdr:rowOff>42862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D2B1584-25C2-41E9-A773-6EC60176D76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afsa Tabbsum" refreshedDate="45775.192475000003" createdVersion="8" refreshedVersion="8" minRefreshableVersion="3" recordCount="7" xr:uid="{E5DF4791-40D1-4F13-8AE8-FC86979BB8F7}">
  <cacheSource type="worksheet">
    <worksheetSource ref="C6:G13" sheet="Sheet1"/>
  </cacheSource>
  <cacheFields count="5">
    <cacheField name="CRIME&amp;Types" numFmtId="0">
      <sharedItems/>
    </cacheField>
    <cacheField name="Field2" numFmtId="0">
      <sharedItems containsNonDate="0" containsString="0" containsBlank="1"/>
    </cacheField>
    <cacheField name="Year" numFmtId="0">
      <sharedItems containsString="0" containsBlank="1" containsNumber="1" containsInteger="1" minValue="2022" maxValue="2024"/>
    </cacheField>
    <cacheField name="Month " numFmtId="0">
      <sharedItems containsString="0" containsBlank="1" containsNumber="1" containsInteger="1" minValue="1" maxValue="11"/>
    </cacheField>
    <cacheField name="Neighbourhood" numFmtId="0">
      <sharedItems containsBlank="1" count="7">
        <m/>
        <s v="South Boston"/>
        <s v="Roxbury"/>
        <s v="Dorchester"/>
        <s v="Brighton"/>
        <s v="West End"/>
        <s v="South End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afsa Tabbsum" refreshedDate="45775.194498958335" createdVersion="8" refreshedVersion="8" minRefreshableVersion="3" recordCount="4" xr:uid="{A5E99BD5-F13E-48A0-99BF-927CE6A75E44}">
  <cacheSource type="worksheet">
    <worksheetSource ref="C6:G10" sheet="Sheet3"/>
  </cacheSource>
  <cacheFields count="5">
    <cacheField name="Murder&amp;Death" numFmtId="0">
      <sharedItems/>
    </cacheField>
    <cacheField name="Field2" numFmtId="0">
      <sharedItems containsNonDate="0" containsString="0" containsBlank="1"/>
    </cacheField>
    <cacheField name="Field3" numFmtId="0">
      <sharedItems containsSemiMixedTypes="0" containsString="0" containsNumber="1" containsInteger="1" minValue="2022" maxValue="2024" count="3">
        <n v="2023"/>
        <n v="2022"/>
        <n v="2024"/>
      </sharedItems>
    </cacheField>
    <cacheField name="Field4" numFmtId="0">
      <sharedItems containsSemiMixedTypes="0" containsString="0" containsNumber="1" containsInteger="1" minValue="1" maxValue="12"/>
    </cacheField>
    <cacheField name="Field5" numFmtId="0">
      <sharedItems count="4">
        <s v="Mattapan"/>
        <s v="Beacon Hill"/>
        <s v="Dorchester"/>
        <s v="Downtown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afsa Tabbsum" refreshedDate="45775.200103124997" createdVersion="8" refreshedVersion="8" minRefreshableVersion="3" recordCount="7" xr:uid="{BE129D18-74BA-4DFD-B3EE-80D8005FA95A}">
  <cacheSource type="worksheet">
    <worksheetSource ref="C6:F13" sheet="Sheet6"/>
  </cacheSource>
  <cacheFields count="4">
    <cacheField name="ASSAULT&amp;Drugs" numFmtId="0">
      <sharedItems count="7">
        <s v="Aggravated"/>
        <s v="Simple"/>
        <s v="possession of Drug PARAPANALIA"/>
        <s v="Drugs-Possesion/Sale/Manufacturing/Use"/>
        <s v="Verbal Dispute"/>
        <s v="Child Endangergment"/>
        <s v="Kidnapping/Custodial Kidnapping/Abduction"/>
      </sharedItems>
    </cacheField>
    <cacheField name="Field2" numFmtId="0">
      <sharedItems containsSemiMixedTypes="0" containsString="0" containsNumber="1" containsInteger="1" minValue="2022" maxValue="2024"/>
    </cacheField>
    <cacheField name="Field3" numFmtId="0">
      <sharedItems containsSemiMixedTypes="0" containsString="0" containsNumber="1" containsInteger="1" minValue="1" maxValue="12"/>
    </cacheField>
    <cacheField name="Field4" numFmtId="0">
      <sharedItems count="4">
        <s v="Dorchester"/>
        <s v="Downtown"/>
        <s v="Roxbury"/>
        <s v="Hyde Park 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afsa Tabbsum" refreshedDate="45779.136800810185" createdVersion="8" refreshedVersion="8" minRefreshableVersion="3" recordCount="6" xr:uid="{7C28C8E9-B612-48C0-ABBA-B31DC141B409}">
  <cacheSource type="worksheet">
    <worksheetSource ref="A1:D7" sheet="Sheet8"/>
  </cacheSource>
  <cacheFields count="4">
    <cacheField name="FRAUD" numFmtId="0">
      <sharedItems containsBlank="1" count="6">
        <s v="CREDIT CARD/ATM FRAUD"/>
        <s v="FALSE/PRETENSE SCHEME"/>
        <s v="welfare Fraud"/>
        <s v="WIRE Fraud"/>
        <s v="IDENTITY FRAUD"/>
        <m/>
      </sharedItems>
    </cacheField>
    <cacheField name="Neighbourhood" numFmtId="0">
      <sharedItems containsBlank="1" count="6">
        <m/>
        <s v="Dorchester"/>
        <s v="Beacon Hill"/>
        <s v="Roxbury"/>
        <s v="East Boston "/>
        <s v="South End"/>
      </sharedItems>
    </cacheField>
    <cacheField name="Year" numFmtId="0">
      <sharedItems containsString="0" containsBlank="1" containsNumber="1" containsInteger="1" minValue="2018" maxValue="2023"/>
    </cacheField>
    <cacheField name="Month " numFmtId="0">
      <sharedItems containsString="0" containsBlank="1" containsNumber="1" containsInteger="1" minValue="1" maxValue="1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7">
  <r>
    <s v="Sex offense&amp;Assault"/>
    <m/>
    <m/>
    <m/>
    <x v="0"/>
  </r>
  <r>
    <s v="Failure to register as a Sex Offender"/>
    <m/>
    <n v="2024"/>
    <n v="4"/>
    <x v="1"/>
  </r>
  <r>
    <s v="Sexual Offense-Other"/>
    <m/>
    <n v="2023"/>
    <n v="6"/>
    <x v="2"/>
  </r>
  <r>
    <s v="Sex Offense-Rape-forcible&amp;Sodomy"/>
    <m/>
    <n v="2023"/>
    <n v="11"/>
    <x v="3"/>
  </r>
  <r>
    <s v="Sexual Assault Investigation "/>
    <m/>
    <n v="2023"/>
    <n v="1"/>
    <x v="4"/>
  </r>
  <r>
    <s v="Sexual Assault Kit Collected"/>
    <m/>
    <n v="2022"/>
    <n v="11"/>
    <x v="5"/>
  </r>
  <r>
    <s v="Sexual Assault-fondling"/>
    <m/>
    <n v="2024"/>
    <n v="5"/>
    <x v="6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">
  <r>
    <s v="Non-Negligent Manslaughter"/>
    <m/>
    <x v="0"/>
    <n v="1"/>
    <x v="0"/>
  </r>
  <r>
    <s v="Sudden Death"/>
    <m/>
    <x v="1"/>
    <n v="12"/>
    <x v="1"/>
  </r>
  <r>
    <s v="Death investigation"/>
    <m/>
    <x v="1"/>
    <n v="12"/>
    <x v="2"/>
  </r>
  <r>
    <s v="Suicide/Suicide Attempt"/>
    <m/>
    <x v="2"/>
    <n v="2"/>
    <x v="3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7">
  <r>
    <x v="0"/>
    <n v="2022"/>
    <n v="11"/>
    <x v="0"/>
  </r>
  <r>
    <x v="1"/>
    <n v="2023"/>
    <n v="1"/>
    <x v="1"/>
  </r>
  <r>
    <x v="2"/>
    <n v="2024"/>
    <n v="4"/>
    <x v="2"/>
  </r>
  <r>
    <x v="3"/>
    <n v="2022"/>
    <n v="12"/>
    <x v="2"/>
  </r>
  <r>
    <x v="4"/>
    <n v="2022"/>
    <n v="11"/>
    <x v="2"/>
  </r>
  <r>
    <x v="5"/>
    <n v="2024"/>
    <n v="4"/>
    <x v="0"/>
  </r>
  <r>
    <x v="6"/>
    <n v="2023"/>
    <n v="1"/>
    <x v="3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">
  <r>
    <x v="0"/>
    <x v="0"/>
    <m/>
    <m/>
  </r>
  <r>
    <x v="1"/>
    <x v="1"/>
    <n v="2018"/>
    <n v="1"/>
  </r>
  <r>
    <x v="2"/>
    <x v="2"/>
    <n v="2022"/>
    <n v="10"/>
  </r>
  <r>
    <x v="3"/>
    <x v="3"/>
    <n v="2023"/>
    <n v="1"/>
  </r>
  <r>
    <x v="4"/>
    <x v="4"/>
    <n v="2023"/>
    <n v="1"/>
  </r>
  <r>
    <x v="5"/>
    <x v="5"/>
    <n v="2019"/>
    <n v="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1161274-7CF3-4459-ABA3-003255B97913}" name="PivotTable1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compact="0" compactData="0" multipleFieldFilters="0" chartFormat="10">
  <location ref="A2:B10" firstHeaderRow="1" firstDataRow="1" firstDataCol="1"/>
  <pivotFields count="5">
    <pivotField compact="0" outline="0" showAll="0"/>
    <pivotField compact="0" outline="0" showAll="0"/>
    <pivotField compact="0" outline="0" showAll="0"/>
    <pivotField dataField="1" compact="0" outline="0" showAll="0"/>
    <pivotField axis="axisRow" compact="0" outline="0" showAll="0" sortType="descending">
      <items count="8">
        <item x="4"/>
        <item x="3"/>
        <item x="2"/>
        <item x="1"/>
        <item x="6"/>
        <item x="5"/>
        <item x="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</pivotFields>
  <rowFields count="1">
    <field x="4"/>
  </rowFields>
  <rowItems count="8">
    <i>
      <x v="5"/>
    </i>
    <i>
      <x v="1"/>
    </i>
    <i>
      <x v="2"/>
    </i>
    <i>
      <x v="4"/>
    </i>
    <i>
      <x v="3"/>
    </i>
    <i>
      <x/>
    </i>
    <i>
      <x v="6"/>
    </i>
    <i t="grand">
      <x/>
    </i>
  </rowItems>
  <colItems count="1">
    <i/>
  </colItems>
  <dataFields count="1">
    <dataField name="Sum of Month " fld="3" baseField="0" baseItem="0"/>
  </dataFields>
  <chartFormats count="3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0" format="2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50E0047-E886-4D93-B943-2E50CD905F02}" name="PivotTable3" cacheId="1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compact="0" compactData="0" multipleFieldFilters="0" chartFormat="1">
  <location ref="A2:B7" firstHeaderRow="1" firstDataRow="1" firstDataCol="1"/>
  <pivotFields count="5">
    <pivotField compact="0" outline="0" showAll="0"/>
    <pivotField compact="0" outline="0" showAll="0"/>
    <pivotField compact="0" outline="0" showAll="0"/>
    <pivotField dataField="1" compact="0" outline="0" showAll="0"/>
    <pivotField axis="axisRow" compact="0" outline="0" showAll="0" sortType="descending">
      <items count="5">
        <item x="1"/>
        <item x="2"/>
        <item x="3"/>
        <item x="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</pivotFields>
  <rowFields count="1">
    <field x="4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Sum of Field4" fld="3" baseField="0" baseItem="0"/>
  </dataFields>
  <chartFormats count="3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0" format="2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4B6FEFE-07CB-408F-82B0-DA5502C1F04C}" name="PivotTable2" cacheId="1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compact="0" compactData="0" multipleFieldFilters="0" chartFormat="3">
  <location ref="A2:B6" firstHeaderRow="1" firstDataRow="1" firstDataCol="1"/>
  <pivotFields count="5">
    <pivotField compact="0" outline="0" showAll="0"/>
    <pivotField compact="0" outline="0" showAll="0"/>
    <pivotField axis="axisRow" compact="0" outline="0" showAll="0">
      <items count="4">
        <item x="1"/>
        <item x="0"/>
        <item x="2"/>
        <item t="default"/>
      </items>
    </pivotField>
    <pivotField dataField="1" compact="0" outline="0" showAll="0"/>
    <pivotField compact="0" outline="0" showAll="0"/>
  </pivotFields>
  <rowFields count="1">
    <field x="2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Count" fld="3" baseField="0" baseItem="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DEBDBF2-1B8A-46D5-80B2-0B380853334F}" name="PivotTable4" cacheId="2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compact="0" compactData="0" multipleFieldFilters="0" chartFormat="3">
  <location ref="A4:B7" firstHeaderRow="1" firstDataRow="1" firstDataCol="1" rowPageCount="1" colPageCount="1"/>
  <pivotFields count="4">
    <pivotField axis="axisRow" compact="0" outline="0" showAll="0" sortType="descending">
      <items count="8">
        <item x="0"/>
        <item x="5"/>
        <item x="3"/>
        <item x="6"/>
        <item x="2"/>
        <item x="1"/>
        <item x="4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compact="0" outline="0" showAll="0"/>
    <pivotField dataField="1" compact="0" outline="0" showAll="0"/>
    <pivotField axis="axisPage" compact="0" outline="0" multipleItemSelectionAllowed="1" showAll="0">
      <items count="5">
        <item x="0"/>
        <item h="1" x="1"/>
        <item h="1" x="3"/>
        <item h="1" x="2"/>
        <item t="default"/>
      </items>
    </pivotField>
  </pivotFields>
  <rowFields count="1">
    <field x="0"/>
  </rowFields>
  <rowItems count="3">
    <i>
      <x/>
    </i>
    <i>
      <x v="1"/>
    </i>
    <i t="grand">
      <x/>
    </i>
  </rowItems>
  <colItems count="1">
    <i/>
  </colItems>
  <pageFields count="1">
    <pageField fld="3" hier="-1"/>
  </pageFields>
  <dataFields count="1">
    <dataField name="Sum of Field3" fld="2" baseField="0" baseItem="0"/>
  </dataFields>
  <chartFormats count="3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0" format="2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A589AA8-F83C-4AF6-BEA3-3F489B030072}" name="PivotTable6" cacheId="2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compact="0" compactData="0" multipleFieldFilters="0" chartFormat="3">
  <location ref="A2:C14" firstHeaderRow="1" firstDataRow="1" firstDataCol="2"/>
  <pivotFields count="4">
    <pivotField axis="axisRow" compact="0" outline="0" showAll="0">
      <items count="8">
        <item x="0"/>
        <item x="5"/>
        <item x="3"/>
        <item x="6"/>
        <item x="2"/>
        <item x="1"/>
        <item x="4"/>
        <item t="default"/>
      </items>
    </pivotField>
    <pivotField compact="0" outline="0" showAll="0"/>
    <pivotField dataField="1" compact="0" outline="0" showAll="0"/>
    <pivotField axis="axisRow" compact="0" outline="0" showAll="0" sortType="descending">
      <items count="5">
        <item x="0"/>
        <item x="1"/>
        <item x="3"/>
        <item x="2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</pivotFields>
  <rowFields count="2">
    <field x="3"/>
    <field x="0"/>
  </rowFields>
  <rowItems count="12">
    <i>
      <x v="3"/>
      <x v="2"/>
    </i>
    <i r="1">
      <x v="4"/>
    </i>
    <i r="1">
      <x v="6"/>
    </i>
    <i t="default">
      <x v="3"/>
    </i>
    <i>
      <x/>
      <x/>
    </i>
    <i r="1">
      <x v="1"/>
    </i>
    <i t="default">
      <x/>
    </i>
    <i>
      <x v="2"/>
      <x v="3"/>
    </i>
    <i t="default">
      <x v="2"/>
    </i>
    <i>
      <x v="1"/>
      <x v="5"/>
    </i>
    <i t="default">
      <x v="1"/>
    </i>
    <i t="grand">
      <x/>
    </i>
  </rowItems>
  <colItems count="1">
    <i/>
  </colItems>
  <dataFields count="1">
    <dataField name="Sum of Field3" fld="2" baseField="0" baseItem="0"/>
  </dataFields>
  <chartFormats count="9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3"/>
          </reference>
        </references>
      </pivotArea>
    </chartFormat>
    <chartFormat chart="0" format="2">
      <pivotArea type="data" outline="0" fieldPosition="0">
        <references count="2">
          <reference field="4294967294" count="1" selected="0">
            <x v="0"/>
          </reference>
          <reference field="3" count="1" selected="0">
            <x v="0"/>
          </reference>
        </references>
      </pivotArea>
    </chartFormat>
    <chartFormat chart="0" format="3">
      <pivotArea type="data" outline="0" fieldPosition="0">
        <references count="2">
          <reference field="4294967294" count="1" selected="0">
            <x v="0"/>
          </reference>
          <reference field="3" count="1" selected="0">
            <x v="2"/>
          </reference>
        </references>
      </pivotArea>
    </chartFormat>
    <chartFormat chart="0" format="4">
      <pivotArea type="data" outline="0" fieldPosition="0">
        <references count="2">
          <reference field="4294967294" count="1" selected="0">
            <x v="0"/>
          </reference>
          <reference field="3" count="1" selected="0">
            <x v="1"/>
          </reference>
        </references>
      </pivotArea>
    </chartFormat>
    <chartFormat chart="0" format="5">
      <pivotArea type="data" outline="0" fieldPosition="0">
        <references count="3">
          <reference field="4294967294" count="1" selected="0">
            <x v="0"/>
          </reference>
          <reference field="0" count="1" selected="0">
            <x v="0"/>
          </reference>
          <reference field="3" count="1" selected="0">
            <x v="0"/>
          </reference>
        </references>
      </pivotArea>
    </chartFormat>
    <chartFormat chart="0" format="6">
      <pivotArea type="data" outline="0" fieldPosition="0">
        <references count="3">
          <reference field="4294967294" count="1" selected="0">
            <x v="0"/>
          </reference>
          <reference field="0" count="1" selected="0">
            <x v="1"/>
          </reference>
          <reference field="3" count="1" selected="0">
            <x v="0"/>
          </reference>
        </references>
      </pivotArea>
    </chartFormat>
    <chartFormat chart="0" format="7">
      <pivotArea type="data" outline="0" fieldPosition="0">
        <references count="3">
          <reference field="4294967294" count="1" selected="0">
            <x v="0"/>
          </reference>
          <reference field="0" count="1" selected="0">
            <x v="3"/>
          </reference>
          <reference field="3" count="1" selected="0">
            <x v="2"/>
          </reference>
        </references>
      </pivotArea>
    </chartFormat>
    <chartFormat chart="0" format="8">
      <pivotArea type="data" outline="0" fieldPosition="0">
        <references count="3">
          <reference field="4294967294" count="1" selected="0">
            <x v="0"/>
          </reference>
          <reference field="0" count="1" selected="0">
            <x v="5"/>
          </reference>
          <reference field="3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80018EF-CAB2-4422-8D40-72842ADAD49A}" name="PivotTable12" cacheId="3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7">
  <location ref="A1:B10" firstHeaderRow="1" firstDataRow="1" firstDataCol="1"/>
  <pivotFields count="4">
    <pivotField axis="axisRow" showAll="0">
      <items count="7">
        <item x="0"/>
        <item x="1"/>
        <item x="4"/>
        <item x="2"/>
        <item x="3"/>
        <item h="1" x="5"/>
        <item t="default"/>
      </items>
    </pivotField>
    <pivotField axis="axisRow" showAll="0">
      <items count="7">
        <item x="2"/>
        <item x="1"/>
        <item x="4"/>
        <item x="3"/>
        <item x="5"/>
        <item h="1" x="0"/>
        <item t="default"/>
      </items>
    </pivotField>
    <pivotField dataField="1" showAll="0"/>
    <pivotField showAll="0"/>
  </pivotFields>
  <rowFields count="2">
    <field x="0"/>
    <field x="1"/>
  </rowFields>
  <rowItems count="9">
    <i>
      <x v="1"/>
    </i>
    <i r="1">
      <x v="1"/>
    </i>
    <i>
      <x v="2"/>
    </i>
    <i r="1">
      <x v="2"/>
    </i>
    <i>
      <x v="3"/>
    </i>
    <i r="1">
      <x/>
    </i>
    <i>
      <x v="4"/>
    </i>
    <i r="1">
      <x v="3"/>
    </i>
    <i t="grand">
      <x/>
    </i>
  </rowItems>
  <colItems count="1">
    <i/>
  </colItems>
  <dataFields count="1">
    <dataField name="Sum of Year" fld="2" baseField="0" baseItem="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2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ivotTable" Target="../pivotTables/pivotTable3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ivotTable" Target="../pivotTables/pivotTable4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ivotTable" Target="../pivotTables/pivotTable5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ivotTable" Target="../pivotTables/pivotTable6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559DBF-B287-4E18-9CE0-8633E5ED8C4F}">
  <dimension ref="A1:M18"/>
  <sheetViews>
    <sheetView workbookViewId="0">
      <selection activeCell="P5" sqref="P5"/>
    </sheetView>
  </sheetViews>
  <sheetFormatPr defaultRowHeight="15" x14ac:dyDescent="0.25"/>
  <sheetData>
    <row r="1" spans="1:13" x14ac:dyDescent="0.25">
      <c r="A1" s="1" t="s">
        <v>0</v>
      </c>
      <c r="C1" s="10" t="s">
        <v>124</v>
      </c>
      <c r="D1" s="10"/>
      <c r="E1" s="10" t="s">
        <v>125</v>
      </c>
      <c r="F1" s="10"/>
      <c r="G1" s="1" t="s">
        <v>0</v>
      </c>
      <c r="H1" s="10" t="s">
        <v>124</v>
      </c>
      <c r="I1" s="10"/>
      <c r="J1" s="10" t="s">
        <v>125</v>
      </c>
      <c r="K1" s="10"/>
      <c r="M1" s="1" t="s">
        <v>0</v>
      </c>
    </row>
    <row r="2" spans="1:13" x14ac:dyDescent="0.25">
      <c r="A2" s="1" t="s">
        <v>5</v>
      </c>
      <c r="C2" s="8"/>
      <c r="D2" s="8"/>
      <c r="E2" s="8"/>
      <c r="F2" s="8"/>
      <c r="G2" s="1" t="s">
        <v>6</v>
      </c>
      <c r="H2" s="8"/>
      <c r="I2" s="8"/>
      <c r="J2" s="8"/>
      <c r="K2" s="8"/>
      <c r="M2" s="1" t="s">
        <v>7</v>
      </c>
    </row>
    <row r="3" spans="1:13" x14ac:dyDescent="0.25">
      <c r="A3" t="s">
        <v>14</v>
      </c>
      <c r="C3" s="8" t="s">
        <v>109</v>
      </c>
      <c r="D3" s="8">
        <v>2021</v>
      </c>
      <c r="E3" s="8" t="s">
        <v>109</v>
      </c>
      <c r="F3" s="8">
        <v>3.2</v>
      </c>
      <c r="G3" t="s">
        <v>16</v>
      </c>
      <c r="H3" s="8" t="s">
        <v>109</v>
      </c>
      <c r="I3" s="8">
        <v>2023</v>
      </c>
      <c r="J3" s="8" t="s">
        <v>109</v>
      </c>
      <c r="K3" s="8">
        <v>8</v>
      </c>
      <c r="M3" t="s">
        <v>18</v>
      </c>
    </row>
    <row r="4" spans="1:13" x14ac:dyDescent="0.25">
      <c r="A4" t="s">
        <v>28</v>
      </c>
      <c r="C4" s="8" t="s">
        <v>110</v>
      </c>
      <c r="D4" s="8">
        <v>1.0488088481701516</v>
      </c>
      <c r="E4" s="8" t="s">
        <v>110</v>
      </c>
      <c r="F4" s="8">
        <v>1.7435595774162693</v>
      </c>
      <c r="G4" t="s">
        <v>30</v>
      </c>
      <c r="H4" s="8" t="s">
        <v>110</v>
      </c>
      <c r="I4" s="8">
        <v>0.57735026918962584</v>
      </c>
      <c r="J4" s="8" t="s">
        <v>110</v>
      </c>
      <c r="K4" s="8">
        <v>2.9999999999999996</v>
      </c>
      <c r="M4" t="s">
        <v>31</v>
      </c>
    </row>
    <row r="5" spans="1:13" x14ac:dyDescent="0.25">
      <c r="A5" t="s">
        <v>39</v>
      </c>
      <c r="C5" s="8" t="s">
        <v>111</v>
      </c>
      <c r="D5" s="8">
        <v>2022</v>
      </c>
      <c r="E5" s="8" t="s">
        <v>111</v>
      </c>
      <c r="F5" s="8">
        <v>1</v>
      </c>
      <c r="G5" t="s">
        <v>40</v>
      </c>
      <c r="H5" s="8" t="s">
        <v>111</v>
      </c>
      <c r="I5" s="8">
        <v>2023</v>
      </c>
      <c r="J5" s="8" t="s">
        <v>111</v>
      </c>
      <c r="K5" s="8">
        <v>8</v>
      </c>
      <c r="M5" t="s">
        <v>41</v>
      </c>
    </row>
    <row r="6" spans="1:13" x14ac:dyDescent="0.25">
      <c r="A6" t="s">
        <v>48</v>
      </c>
      <c r="C6" s="8" t="s">
        <v>112</v>
      </c>
      <c r="D6" s="8">
        <v>2023</v>
      </c>
      <c r="E6" s="8" t="s">
        <v>112</v>
      </c>
      <c r="F6" s="8">
        <v>1</v>
      </c>
      <c r="G6" t="s">
        <v>50</v>
      </c>
      <c r="H6" s="8" t="s">
        <v>112</v>
      </c>
      <c r="I6" s="8" t="e">
        <v>#N/A</v>
      </c>
      <c r="J6" s="8" t="s">
        <v>112</v>
      </c>
      <c r="K6" s="8" t="e">
        <v>#N/A</v>
      </c>
      <c r="M6" t="s">
        <v>52</v>
      </c>
    </row>
    <row r="7" spans="1:13" x14ac:dyDescent="0.25">
      <c r="A7" t="s">
        <v>58</v>
      </c>
      <c r="C7" s="8" t="s">
        <v>113</v>
      </c>
      <c r="D7" s="8">
        <v>2.3452078799117149</v>
      </c>
      <c r="E7" s="8" t="s">
        <v>113</v>
      </c>
      <c r="F7" s="8">
        <v>3.8987177379235853</v>
      </c>
      <c r="G7" t="s">
        <v>59</v>
      </c>
      <c r="H7" s="8" t="s">
        <v>113</v>
      </c>
      <c r="I7" s="8">
        <v>1</v>
      </c>
      <c r="J7" s="8" t="s">
        <v>113</v>
      </c>
      <c r="K7" s="8">
        <v>4.2426406871192848</v>
      </c>
    </row>
    <row r="8" spans="1:13" x14ac:dyDescent="0.25">
      <c r="C8" s="8" t="s">
        <v>114</v>
      </c>
      <c r="D8" s="8">
        <v>5.5</v>
      </c>
      <c r="E8" s="8" t="s">
        <v>114</v>
      </c>
      <c r="F8" s="8">
        <v>15.2</v>
      </c>
      <c r="G8" t="s">
        <v>66</v>
      </c>
      <c r="H8" s="8" t="s">
        <v>114</v>
      </c>
      <c r="I8" s="8">
        <v>1</v>
      </c>
      <c r="J8" s="8" t="s">
        <v>114</v>
      </c>
      <c r="K8" s="8">
        <v>18</v>
      </c>
    </row>
    <row r="9" spans="1:13" x14ac:dyDescent="0.25">
      <c r="C9" s="8" t="s">
        <v>115</v>
      </c>
      <c r="D9" s="8">
        <v>-2.6280991735537196</v>
      </c>
      <c r="E9" s="8" t="s">
        <v>115</v>
      </c>
      <c r="F9" s="8">
        <v>3.94823407202216</v>
      </c>
      <c r="H9" s="8" t="s">
        <v>115</v>
      </c>
      <c r="I9" s="8" t="e">
        <v>#DIV/0!</v>
      </c>
      <c r="J9" s="8" t="s">
        <v>115</v>
      </c>
      <c r="K9" s="8" t="e">
        <v>#DIV/0!</v>
      </c>
    </row>
    <row r="10" spans="1:13" x14ac:dyDescent="0.25">
      <c r="C10" s="8" t="s">
        <v>116</v>
      </c>
      <c r="D10" s="8">
        <v>-0.58145649915166497</v>
      </c>
      <c r="E10" s="8" t="s">
        <v>116</v>
      </c>
      <c r="F10" s="8">
        <v>1.9861455927701086</v>
      </c>
      <c r="H10" s="8" t="s">
        <v>116</v>
      </c>
      <c r="I10" s="8">
        <v>0</v>
      </c>
      <c r="J10" s="8" t="s">
        <v>116</v>
      </c>
      <c r="K10" s="8" t="e">
        <v>#DIV/0!</v>
      </c>
    </row>
    <row r="11" spans="1:13" x14ac:dyDescent="0.25">
      <c r="C11" s="8" t="s">
        <v>117</v>
      </c>
      <c r="D11" s="8">
        <v>5</v>
      </c>
      <c r="E11" s="8" t="s">
        <v>117</v>
      </c>
      <c r="F11" s="8">
        <v>9</v>
      </c>
      <c r="H11" s="8" t="s">
        <v>117</v>
      </c>
      <c r="I11" s="8">
        <v>2</v>
      </c>
      <c r="J11" s="8" t="s">
        <v>117</v>
      </c>
      <c r="K11" s="8">
        <v>6</v>
      </c>
    </row>
    <row r="12" spans="1:13" x14ac:dyDescent="0.25">
      <c r="C12" s="8" t="s">
        <v>118</v>
      </c>
      <c r="D12" s="8">
        <v>2018</v>
      </c>
      <c r="E12" s="8" t="s">
        <v>118</v>
      </c>
      <c r="F12" s="8">
        <v>1</v>
      </c>
      <c r="H12" s="8" t="s">
        <v>118</v>
      </c>
      <c r="I12" s="8">
        <v>2022</v>
      </c>
      <c r="J12" s="8" t="s">
        <v>118</v>
      </c>
      <c r="K12" s="8">
        <v>5</v>
      </c>
    </row>
    <row r="13" spans="1:13" x14ac:dyDescent="0.25">
      <c r="C13" s="8" t="s">
        <v>119</v>
      </c>
      <c r="D13" s="8">
        <v>2023</v>
      </c>
      <c r="E13" s="8" t="s">
        <v>119</v>
      </c>
      <c r="F13" s="8">
        <v>10</v>
      </c>
      <c r="H13" s="8" t="s">
        <v>119</v>
      </c>
      <c r="I13" s="8">
        <v>2024</v>
      </c>
      <c r="J13" s="8" t="s">
        <v>119</v>
      </c>
      <c r="K13" s="8">
        <v>11</v>
      </c>
    </row>
    <row r="14" spans="1:13" x14ac:dyDescent="0.25">
      <c r="C14" s="8" t="s">
        <v>120</v>
      </c>
      <c r="D14" s="8">
        <v>10105</v>
      </c>
      <c r="E14" s="8" t="s">
        <v>120</v>
      </c>
      <c r="F14" s="8">
        <v>16</v>
      </c>
      <c r="H14" s="8" t="s">
        <v>120</v>
      </c>
      <c r="I14" s="8">
        <v>6069</v>
      </c>
      <c r="J14" s="8" t="s">
        <v>120</v>
      </c>
      <c r="K14" s="8">
        <v>16</v>
      </c>
    </row>
    <row r="15" spans="1:13" x14ac:dyDescent="0.25">
      <c r="C15" s="8" t="s">
        <v>98</v>
      </c>
      <c r="D15" s="8">
        <v>5</v>
      </c>
      <c r="E15" s="8" t="s">
        <v>98</v>
      </c>
      <c r="F15" s="8">
        <v>5</v>
      </c>
      <c r="H15" s="8" t="s">
        <v>98</v>
      </c>
      <c r="I15" s="8">
        <v>3</v>
      </c>
      <c r="J15" s="8" t="s">
        <v>98</v>
      </c>
      <c r="K15" s="8">
        <v>2</v>
      </c>
    </row>
    <row r="16" spans="1:13" x14ac:dyDescent="0.25">
      <c r="C16" s="8" t="s">
        <v>121</v>
      </c>
      <c r="D16" s="8">
        <v>2023</v>
      </c>
      <c r="E16" s="8" t="s">
        <v>121</v>
      </c>
      <c r="F16" s="8">
        <v>10</v>
      </c>
      <c r="H16" s="8" t="s">
        <v>121</v>
      </c>
      <c r="I16" s="8">
        <v>2024</v>
      </c>
      <c r="J16" s="8" t="s">
        <v>121</v>
      </c>
      <c r="K16" s="8">
        <v>11</v>
      </c>
    </row>
    <row r="17" spans="3:11" x14ac:dyDescent="0.25">
      <c r="C17" s="8" t="s">
        <v>122</v>
      </c>
      <c r="D17" s="8">
        <v>2018</v>
      </c>
      <c r="E17" s="8" t="s">
        <v>122</v>
      </c>
      <c r="F17" s="8">
        <v>1</v>
      </c>
      <c r="H17" s="8" t="s">
        <v>122</v>
      </c>
      <c r="I17" s="8">
        <v>2022</v>
      </c>
      <c r="J17" s="8" t="s">
        <v>122</v>
      </c>
      <c r="K17" s="8">
        <v>5</v>
      </c>
    </row>
    <row r="18" spans="3:11" ht="15.75" thickBot="1" x14ac:dyDescent="0.3">
      <c r="C18" s="9" t="s">
        <v>123</v>
      </c>
      <c r="D18" s="9">
        <v>2.9119601927901528</v>
      </c>
      <c r="E18" s="9" t="s">
        <v>123</v>
      </c>
      <c r="F18" s="9">
        <v>4.8408974543381333</v>
      </c>
      <c r="H18" s="9" t="s">
        <v>123</v>
      </c>
      <c r="I18" s="9">
        <v>2.4841377117503303</v>
      </c>
      <c r="J18" s="9" t="s">
        <v>123</v>
      </c>
      <c r="K18" s="9">
        <v>38.118614208524079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A5722A-CE49-442C-B56F-13469E28043C}">
  <dimension ref="A1:AM15"/>
  <sheetViews>
    <sheetView tabSelected="1" topLeftCell="T1" workbookViewId="0">
      <selection activeCell="AJ5" sqref="AJ5"/>
    </sheetView>
  </sheetViews>
  <sheetFormatPr defaultRowHeight="15" x14ac:dyDescent="0.25"/>
  <sheetData>
    <row r="1" spans="1:39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0</v>
      </c>
      <c r="G1" s="1" t="s">
        <v>1</v>
      </c>
      <c r="H1" s="1" t="s">
        <v>2</v>
      </c>
      <c r="I1" s="1" t="s">
        <v>3</v>
      </c>
      <c r="K1" s="1" t="s">
        <v>0</v>
      </c>
      <c r="M1" s="1" t="s">
        <v>1</v>
      </c>
      <c r="N1" s="1" t="s">
        <v>2</v>
      </c>
      <c r="O1" s="1" t="s">
        <v>3</v>
      </c>
      <c r="Q1" s="1" t="s">
        <v>0</v>
      </c>
      <c r="R1" s="1" t="s">
        <v>1</v>
      </c>
      <c r="S1" s="1" t="s">
        <v>4</v>
      </c>
      <c r="T1" s="1" t="s">
        <v>3</v>
      </c>
      <c r="V1" s="1" t="s">
        <v>0</v>
      </c>
      <c r="X1" s="1" t="s">
        <v>1</v>
      </c>
      <c r="Y1" s="1" t="s">
        <v>4</v>
      </c>
      <c r="Z1" s="1" t="s">
        <v>3</v>
      </c>
      <c r="AB1" s="1" t="s">
        <v>0</v>
      </c>
      <c r="AC1" s="1" t="s">
        <v>1</v>
      </c>
      <c r="AD1" s="1" t="s">
        <v>4</v>
      </c>
      <c r="AE1" s="1" t="s">
        <v>3</v>
      </c>
      <c r="AF1" s="1" t="s">
        <v>0</v>
      </c>
      <c r="AG1" s="1" t="s">
        <v>1</v>
      </c>
      <c r="AH1" s="1" t="s">
        <v>4</v>
      </c>
      <c r="AI1" s="1" t="s">
        <v>3</v>
      </c>
      <c r="AJ1" s="1" t="s">
        <v>0</v>
      </c>
      <c r="AK1" s="1" t="s">
        <v>1</v>
      </c>
      <c r="AL1" s="1" t="s">
        <v>4</v>
      </c>
      <c r="AM1" s="1" t="s">
        <v>3</v>
      </c>
    </row>
    <row r="2" spans="1:39" x14ac:dyDescent="0.25">
      <c r="A2" s="1" t="s">
        <v>5</v>
      </c>
      <c r="E2" s="1" t="s">
        <v>6</v>
      </c>
      <c r="K2" s="1" t="s">
        <v>7</v>
      </c>
      <c r="Q2" s="1" t="s">
        <v>8</v>
      </c>
      <c r="R2">
        <v>2023</v>
      </c>
      <c r="S2">
        <v>1</v>
      </c>
      <c r="T2" t="s">
        <v>9</v>
      </c>
      <c r="V2" s="1" t="s">
        <v>10</v>
      </c>
      <c r="AB2" s="1" t="s">
        <v>11</v>
      </c>
      <c r="AF2" s="1" t="s">
        <v>12</v>
      </c>
      <c r="AJ2" s="1" t="s">
        <v>13</v>
      </c>
    </row>
    <row r="3" spans="1:39" x14ac:dyDescent="0.25">
      <c r="A3" t="s">
        <v>14</v>
      </c>
      <c r="B3">
        <v>2018</v>
      </c>
      <c r="C3">
        <v>1</v>
      </c>
      <c r="D3" t="s">
        <v>15</v>
      </c>
      <c r="E3" t="s">
        <v>16</v>
      </c>
      <c r="G3">
        <v>2024</v>
      </c>
      <c r="H3">
        <v>4</v>
      </c>
      <c r="I3" t="s">
        <v>17</v>
      </c>
      <c r="K3" t="s">
        <v>18</v>
      </c>
      <c r="M3">
        <v>2023</v>
      </c>
      <c r="N3">
        <v>1</v>
      </c>
      <c r="O3" t="s">
        <v>19</v>
      </c>
      <c r="Q3" t="s">
        <v>20</v>
      </c>
      <c r="R3">
        <v>2022</v>
      </c>
      <c r="S3">
        <v>12</v>
      </c>
      <c r="T3" t="s">
        <v>21</v>
      </c>
      <c r="V3" t="s">
        <v>22</v>
      </c>
      <c r="X3">
        <v>2023</v>
      </c>
      <c r="Y3">
        <v>3</v>
      </c>
      <c r="Z3" t="s">
        <v>23</v>
      </c>
      <c r="AB3" t="s">
        <v>24</v>
      </c>
      <c r="AC3">
        <v>2023</v>
      </c>
      <c r="AD3">
        <v>1</v>
      </c>
      <c r="AE3" t="s">
        <v>25</v>
      </c>
      <c r="AF3" t="s">
        <v>26</v>
      </c>
      <c r="AG3">
        <v>2024</v>
      </c>
      <c r="AH3">
        <v>4</v>
      </c>
      <c r="AI3" t="s">
        <v>15</v>
      </c>
      <c r="AJ3" t="s">
        <v>27</v>
      </c>
      <c r="AK3">
        <v>2022</v>
      </c>
      <c r="AL3">
        <v>11</v>
      </c>
      <c r="AM3" t="s">
        <v>15</v>
      </c>
    </row>
    <row r="4" spans="1:39" x14ac:dyDescent="0.25">
      <c r="A4" t="s">
        <v>28</v>
      </c>
      <c r="B4">
        <v>2022</v>
      </c>
      <c r="C4">
        <v>10</v>
      </c>
      <c r="D4" t="s">
        <v>29</v>
      </c>
      <c r="E4" t="s">
        <v>30</v>
      </c>
      <c r="G4">
        <v>2023</v>
      </c>
      <c r="H4">
        <v>6</v>
      </c>
      <c r="I4" t="s">
        <v>25</v>
      </c>
      <c r="K4" t="s">
        <v>31</v>
      </c>
      <c r="M4">
        <v>2022</v>
      </c>
      <c r="N4">
        <v>12</v>
      </c>
      <c r="O4" t="s">
        <v>29</v>
      </c>
      <c r="Q4" t="s">
        <v>32</v>
      </c>
      <c r="R4">
        <v>2022</v>
      </c>
      <c r="S4">
        <v>11</v>
      </c>
      <c r="T4" t="s">
        <v>33</v>
      </c>
      <c r="V4" t="s">
        <v>34</v>
      </c>
      <c r="X4">
        <v>2022</v>
      </c>
      <c r="Y4">
        <v>11</v>
      </c>
      <c r="Z4" t="s">
        <v>23</v>
      </c>
      <c r="AB4" t="s">
        <v>35</v>
      </c>
      <c r="AC4">
        <v>2022</v>
      </c>
      <c r="AD4">
        <v>12</v>
      </c>
      <c r="AE4" t="s">
        <v>9</v>
      </c>
      <c r="AF4" t="s">
        <v>36</v>
      </c>
      <c r="AG4">
        <v>2022</v>
      </c>
      <c r="AH4">
        <v>12</v>
      </c>
      <c r="AI4" t="s">
        <v>21</v>
      </c>
      <c r="AJ4" t="s">
        <v>37</v>
      </c>
      <c r="AK4">
        <v>2023</v>
      </c>
      <c r="AL4">
        <v>1</v>
      </c>
      <c r="AM4" t="s">
        <v>38</v>
      </c>
    </row>
    <row r="5" spans="1:39" x14ac:dyDescent="0.25">
      <c r="A5" t="s">
        <v>39</v>
      </c>
      <c r="B5">
        <v>2023</v>
      </c>
      <c r="C5">
        <v>1</v>
      </c>
      <c r="D5" t="s">
        <v>25</v>
      </c>
      <c r="E5" t="s">
        <v>40</v>
      </c>
      <c r="G5">
        <v>2023</v>
      </c>
      <c r="H5">
        <v>11</v>
      </c>
      <c r="I5" t="s">
        <v>15</v>
      </c>
      <c r="K5" t="s">
        <v>41</v>
      </c>
      <c r="M5">
        <v>2022</v>
      </c>
      <c r="N5">
        <v>12</v>
      </c>
      <c r="O5" t="s">
        <v>15</v>
      </c>
      <c r="Q5" t="s">
        <v>42</v>
      </c>
      <c r="R5">
        <v>2023</v>
      </c>
      <c r="S5">
        <v>1</v>
      </c>
      <c r="T5" t="s">
        <v>23</v>
      </c>
      <c r="V5" t="s">
        <v>43</v>
      </c>
      <c r="X5">
        <v>2022</v>
      </c>
      <c r="Y5">
        <v>11</v>
      </c>
      <c r="Z5" t="s">
        <v>44</v>
      </c>
      <c r="AB5" t="s">
        <v>45</v>
      </c>
      <c r="AC5">
        <v>2022</v>
      </c>
      <c r="AD5">
        <v>12</v>
      </c>
      <c r="AE5" t="s">
        <v>15</v>
      </c>
      <c r="AF5" t="s">
        <v>46</v>
      </c>
      <c r="AG5">
        <v>2022</v>
      </c>
      <c r="AH5">
        <v>11</v>
      </c>
      <c r="AI5" t="s">
        <v>15</v>
      </c>
      <c r="AJ5" t="s">
        <v>47</v>
      </c>
      <c r="AK5">
        <v>2024</v>
      </c>
      <c r="AL5">
        <v>4</v>
      </c>
      <c r="AM5" t="s">
        <v>25</v>
      </c>
    </row>
    <row r="6" spans="1:39" x14ac:dyDescent="0.25">
      <c r="A6" t="s">
        <v>48</v>
      </c>
      <c r="B6">
        <v>2023</v>
      </c>
      <c r="C6">
        <v>1</v>
      </c>
      <c r="D6" t="s">
        <v>49</v>
      </c>
      <c r="E6" t="s">
        <v>50</v>
      </c>
      <c r="G6">
        <v>2023</v>
      </c>
      <c r="H6">
        <v>1</v>
      </c>
      <c r="I6" t="s">
        <v>51</v>
      </c>
      <c r="K6" t="s">
        <v>52</v>
      </c>
      <c r="M6">
        <v>2024</v>
      </c>
      <c r="N6">
        <v>2</v>
      </c>
      <c r="O6" t="s">
        <v>38</v>
      </c>
      <c r="Q6" t="s">
        <v>53</v>
      </c>
      <c r="R6">
        <v>2024</v>
      </c>
      <c r="S6">
        <v>4</v>
      </c>
      <c r="T6" t="s">
        <v>38</v>
      </c>
      <c r="V6" t="s">
        <v>54</v>
      </c>
      <c r="X6">
        <v>2023</v>
      </c>
      <c r="Y6">
        <v>1</v>
      </c>
      <c r="Z6" t="s">
        <v>51</v>
      </c>
      <c r="AB6" t="s">
        <v>55</v>
      </c>
      <c r="AC6">
        <v>2022</v>
      </c>
      <c r="AD6">
        <v>11</v>
      </c>
      <c r="AE6" t="s">
        <v>44</v>
      </c>
      <c r="AF6" t="s">
        <v>56</v>
      </c>
      <c r="AG6">
        <v>2023</v>
      </c>
      <c r="AH6">
        <v>8</v>
      </c>
      <c r="AI6" t="s">
        <v>44</v>
      </c>
      <c r="AJ6" t="s">
        <v>57</v>
      </c>
      <c r="AK6">
        <v>2022</v>
      </c>
      <c r="AL6">
        <v>12</v>
      </c>
      <c r="AM6" t="s">
        <v>25</v>
      </c>
    </row>
    <row r="7" spans="1:39" x14ac:dyDescent="0.25">
      <c r="A7" t="s">
        <v>58</v>
      </c>
      <c r="B7">
        <v>2019</v>
      </c>
      <c r="C7">
        <v>3</v>
      </c>
      <c r="D7" t="s">
        <v>9</v>
      </c>
      <c r="E7" t="s">
        <v>59</v>
      </c>
      <c r="G7">
        <v>2022</v>
      </c>
      <c r="H7">
        <v>11</v>
      </c>
      <c r="I7" t="s">
        <v>60</v>
      </c>
      <c r="Q7" t="s">
        <v>61</v>
      </c>
      <c r="R7">
        <v>2022</v>
      </c>
      <c r="S7">
        <v>12</v>
      </c>
      <c r="T7" t="s">
        <v>15</v>
      </c>
      <c r="V7" t="s">
        <v>62</v>
      </c>
      <c r="X7">
        <v>2023</v>
      </c>
      <c r="Y7">
        <v>3</v>
      </c>
      <c r="Z7" t="s">
        <v>23</v>
      </c>
      <c r="AB7" t="s">
        <v>63</v>
      </c>
      <c r="AC7">
        <v>2023</v>
      </c>
      <c r="AD7">
        <v>1</v>
      </c>
      <c r="AE7" t="s">
        <v>25</v>
      </c>
      <c r="AF7" t="s">
        <v>64</v>
      </c>
      <c r="AG7">
        <v>2023</v>
      </c>
      <c r="AH7">
        <v>1</v>
      </c>
      <c r="AI7" t="s">
        <v>21</v>
      </c>
      <c r="AJ7" t="s">
        <v>65</v>
      </c>
      <c r="AK7">
        <v>2022</v>
      </c>
      <c r="AL7">
        <v>11</v>
      </c>
      <c r="AM7" t="s">
        <v>25</v>
      </c>
    </row>
    <row r="8" spans="1:39" x14ac:dyDescent="0.25">
      <c r="E8" t="s">
        <v>66</v>
      </c>
      <c r="G8">
        <v>2024</v>
      </c>
      <c r="H8">
        <v>5</v>
      </c>
      <c r="I8" t="s">
        <v>9</v>
      </c>
      <c r="Q8" t="s">
        <v>67</v>
      </c>
      <c r="R8">
        <v>2023</v>
      </c>
      <c r="S8">
        <v>1</v>
      </c>
      <c r="T8" t="s">
        <v>15</v>
      </c>
      <c r="V8" t="s">
        <v>68</v>
      </c>
      <c r="X8">
        <v>2023</v>
      </c>
      <c r="Y8">
        <v>1</v>
      </c>
      <c r="Z8" t="s">
        <v>51</v>
      </c>
      <c r="AB8" t="s">
        <v>69</v>
      </c>
      <c r="AC8">
        <v>2022</v>
      </c>
      <c r="AD8">
        <v>12</v>
      </c>
      <c r="AE8" t="s">
        <v>51</v>
      </c>
      <c r="AF8" t="s">
        <v>70</v>
      </c>
      <c r="AG8">
        <v>2022</v>
      </c>
      <c r="AH8">
        <v>12</v>
      </c>
      <c r="AI8" t="s">
        <v>9</v>
      </c>
      <c r="AJ8" t="s">
        <v>71</v>
      </c>
      <c r="AK8">
        <v>2024</v>
      </c>
      <c r="AL8">
        <v>4</v>
      </c>
      <c r="AM8" t="s">
        <v>15</v>
      </c>
    </row>
    <row r="9" spans="1:39" x14ac:dyDescent="0.25">
      <c r="V9" t="s">
        <v>72</v>
      </c>
      <c r="X9">
        <v>2022</v>
      </c>
      <c r="Y9">
        <v>11</v>
      </c>
      <c r="Z9" t="s">
        <v>73</v>
      </c>
      <c r="AB9" t="s">
        <v>74</v>
      </c>
      <c r="AC9">
        <v>2022</v>
      </c>
      <c r="AD9">
        <v>12</v>
      </c>
      <c r="AE9" t="s">
        <v>60</v>
      </c>
      <c r="AF9" t="s">
        <v>75</v>
      </c>
      <c r="AG9">
        <v>2024</v>
      </c>
      <c r="AH9">
        <v>2</v>
      </c>
      <c r="AI9" t="s">
        <v>76</v>
      </c>
      <c r="AJ9" t="s">
        <v>77</v>
      </c>
      <c r="AK9">
        <v>2023</v>
      </c>
      <c r="AL9">
        <v>1</v>
      </c>
      <c r="AM9" t="s">
        <v>78</v>
      </c>
    </row>
    <row r="10" spans="1:39" x14ac:dyDescent="0.25">
      <c r="V10" t="s">
        <v>79</v>
      </c>
      <c r="X10">
        <v>2024</v>
      </c>
      <c r="Y10">
        <v>4</v>
      </c>
      <c r="Z10" t="s">
        <v>23</v>
      </c>
      <c r="AB10" t="s">
        <v>80</v>
      </c>
      <c r="AC10">
        <v>2022</v>
      </c>
      <c r="AD10">
        <v>12</v>
      </c>
      <c r="AE10" t="s">
        <v>15</v>
      </c>
      <c r="AF10" t="s">
        <v>81</v>
      </c>
      <c r="AG10">
        <v>2022</v>
      </c>
      <c r="AH10">
        <v>11</v>
      </c>
      <c r="AI10" t="s">
        <v>38</v>
      </c>
    </row>
    <row r="11" spans="1:39" x14ac:dyDescent="0.25">
      <c r="AB11" t="s">
        <v>24</v>
      </c>
      <c r="AC11">
        <v>2024</v>
      </c>
      <c r="AD11">
        <v>4</v>
      </c>
      <c r="AE11" t="s">
        <v>15</v>
      </c>
      <c r="AF11" t="s">
        <v>82</v>
      </c>
      <c r="AG11">
        <v>2022</v>
      </c>
      <c r="AH11">
        <v>11</v>
      </c>
      <c r="AI11" t="s">
        <v>19</v>
      </c>
    </row>
    <row r="12" spans="1:39" x14ac:dyDescent="0.25">
      <c r="AB12" t="s">
        <v>83</v>
      </c>
      <c r="AC12">
        <v>2022</v>
      </c>
      <c r="AD12">
        <v>12</v>
      </c>
      <c r="AE12" t="s">
        <v>25</v>
      </c>
    </row>
    <row r="13" spans="1:39" x14ac:dyDescent="0.25">
      <c r="AB13" t="s">
        <v>84</v>
      </c>
      <c r="AC13">
        <v>2022</v>
      </c>
      <c r="AD13">
        <v>12</v>
      </c>
      <c r="AE13" t="s">
        <v>15</v>
      </c>
    </row>
    <row r="14" spans="1:39" x14ac:dyDescent="0.25">
      <c r="AB14" t="s">
        <v>85</v>
      </c>
      <c r="AC14">
        <v>2022</v>
      </c>
      <c r="AD14">
        <v>12</v>
      </c>
      <c r="AE14" t="s">
        <v>86</v>
      </c>
    </row>
    <row r="15" spans="1:39" x14ac:dyDescent="0.25">
      <c r="AB15" t="s">
        <v>87</v>
      </c>
      <c r="AC15">
        <v>2024</v>
      </c>
      <c r="AD15">
        <v>4</v>
      </c>
      <c r="AE15" t="s">
        <v>38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90FE5E-CADA-4A1C-875F-5F6998240888}">
  <dimension ref="B2:G13"/>
  <sheetViews>
    <sheetView workbookViewId="0"/>
  </sheetViews>
  <sheetFormatPr defaultRowHeight="15" x14ac:dyDescent="0.25"/>
  <sheetData>
    <row r="2" spans="2:7" x14ac:dyDescent="0.25">
      <c r="B2" s="2" t="s">
        <v>88</v>
      </c>
    </row>
    <row r="3" spans="2:7" x14ac:dyDescent="0.25">
      <c r="B3" s="3" t="s">
        <v>89</v>
      </c>
    </row>
    <row r="4" spans="2:7" x14ac:dyDescent="0.25">
      <c r="B4" s="3"/>
    </row>
    <row r="6" spans="2:7" x14ac:dyDescent="0.25">
      <c r="C6" t="s">
        <v>0</v>
      </c>
      <c r="D6" t="s">
        <v>90</v>
      </c>
      <c r="E6" t="s">
        <v>1</v>
      </c>
      <c r="F6" t="s">
        <v>2</v>
      </c>
      <c r="G6" t="s">
        <v>3</v>
      </c>
    </row>
    <row r="7" spans="2:7" x14ac:dyDescent="0.25">
      <c r="C7" s="4" t="s">
        <v>6</v>
      </c>
      <c r="D7" s="4"/>
      <c r="E7" s="4"/>
      <c r="F7" s="4"/>
      <c r="G7" s="4"/>
    </row>
    <row r="8" spans="2:7" x14ac:dyDescent="0.25">
      <c r="C8" s="4" t="s">
        <v>16</v>
      </c>
      <c r="D8" s="4"/>
      <c r="E8" s="4">
        <v>2024</v>
      </c>
      <c r="F8" s="4">
        <v>4</v>
      </c>
      <c r="G8" s="4" t="s">
        <v>17</v>
      </c>
    </row>
    <row r="9" spans="2:7" x14ac:dyDescent="0.25">
      <c r="C9" s="4" t="s">
        <v>30</v>
      </c>
      <c r="D9" s="4"/>
      <c r="E9" s="4">
        <v>2023</v>
      </c>
      <c r="F9" s="4">
        <v>6</v>
      </c>
      <c r="G9" s="4" t="s">
        <v>25</v>
      </c>
    </row>
    <row r="10" spans="2:7" x14ac:dyDescent="0.25">
      <c r="C10" s="4" t="s">
        <v>40</v>
      </c>
      <c r="D10" s="4"/>
      <c r="E10" s="4">
        <v>2023</v>
      </c>
      <c r="F10" s="4">
        <v>11</v>
      </c>
      <c r="G10" s="4" t="s">
        <v>15</v>
      </c>
    </row>
    <row r="11" spans="2:7" x14ac:dyDescent="0.25">
      <c r="C11" s="4" t="s">
        <v>50</v>
      </c>
      <c r="D11" s="4"/>
      <c r="E11" s="4">
        <v>2023</v>
      </c>
      <c r="F11" s="4">
        <v>1</v>
      </c>
      <c r="G11" s="4" t="s">
        <v>51</v>
      </c>
    </row>
    <row r="12" spans="2:7" x14ac:dyDescent="0.25">
      <c r="C12" s="4" t="s">
        <v>59</v>
      </c>
      <c r="D12" s="4"/>
      <c r="E12" s="4">
        <v>2022</v>
      </c>
      <c r="F12" s="4">
        <v>11</v>
      </c>
      <c r="G12" s="4" t="s">
        <v>60</v>
      </c>
    </row>
    <row r="13" spans="2:7" x14ac:dyDescent="0.25">
      <c r="C13" s="4" t="s">
        <v>66</v>
      </c>
      <c r="D13" s="4"/>
      <c r="E13" s="4">
        <v>2024</v>
      </c>
      <c r="F13" s="4">
        <v>5</v>
      </c>
      <c r="G13" s="4" t="s">
        <v>9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34463B-1617-4D8F-8F2A-E791B51132D4}">
  <dimension ref="A2:L10"/>
  <sheetViews>
    <sheetView workbookViewId="0">
      <selection activeCell="L4" sqref="L4"/>
    </sheetView>
  </sheetViews>
  <sheetFormatPr defaultRowHeight="15" x14ac:dyDescent="0.25"/>
  <cols>
    <col min="1" max="1" width="17.42578125" bestFit="1" customWidth="1"/>
    <col min="2" max="2" width="14" bestFit="1" customWidth="1"/>
  </cols>
  <sheetData>
    <row r="2" spans="1:12" x14ac:dyDescent="0.25">
      <c r="A2" s="5" t="s">
        <v>3</v>
      </c>
      <c r="B2" t="s">
        <v>91</v>
      </c>
    </row>
    <row r="3" spans="1:12" x14ac:dyDescent="0.25">
      <c r="A3" t="s">
        <v>60</v>
      </c>
      <c r="B3" s="4">
        <v>11</v>
      </c>
    </row>
    <row r="4" spans="1:12" x14ac:dyDescent="0.25">
      <c r="A4" t="s">
        <v>15</v>
      </c>
      <c r="B4" s="4">
        <v>11</v>
      </c>
      <c r="L4" t="s">
        <v>103</v>
      </c>
    </row>
    <row r="5" spans="1:12" x14ac:dyDescent="0.25">
      <c r="A5" t="s">
        <v>25</v>
      </c>
      <c r="B5" s="4">
        <v>6</v>
      </c>
    </row>
    <row r="6" spans="1:12" x14ac:dyDescent="0.25">
      <c r="A6" t="s">
        <v>9</v>
      </c>
      <c r="B6" s="4">
        <v>5</v>
      </c>
    </row>
    <row r="7" spans="1:12" x14ac:dyDescent="0.25">
      <c r="A7" t="s">
        <v>17</v>
      </c>
      <c r="B7" s="4">
        <v>4</v>
      </c>
    </row>
    <row r="8" spans="1:12" x14ac:dyDescent="0.25">
      <c r="A8" t="s">
        <v>51</v>
      </c>
      <c r="B8" s="4">
        <v>1</v>
      </c>
    </row>
    <row r="9" spans="1:12" x14ac:dyDescent="0.25">
      <c r="A9" t="s">
        <v>92</v>
      </c>
      <c r="B9" s="4"/>
    </row>
    <row r="10" spans="1:12" x14ac:dyDescent="0.25">
      <c r="A10" t="s">
        <v>93</v>
      </c>
      <c r="B10" s="4">
        <v>38</v>
      </c>
    </row>
  </sheetData>
  <pageMargins left="0.7" right="0.7" top="0.75" bottom="0.75" header="0.3" footer="0.3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20892E-9498-4E98-8936-AA07287DBFF4}">
  <dimension ref="B2:G10"/>
  <sheetViews>
    <sheetView workbookViewId="0">
      <selection activeCell="H20" sqref="H20"/>
    </sheetView>
  </sheetViews>
  <sheetFormatPr defaultRowHeight="15" x14ac:dyDescent="0.25"/>
  <sheetData>
    <row r="2" spans="2:7" x14ac:dyDescent="0.25">
      <c r="B2" s="2" t="s">
        <v>88</v>
      </c>
    </row>
    <row r="3" spans="2:7" x14ac:dyDescent="0.25">
      <c r="B3" s="3" t="s">
        <v>89</v>
      </c>
    </row>
    <row r="4" spans="2:7" x14ac:dyDescent="0.25">
      <c r="B4" s="3"/>
    </row>
    <row r="6" spans="2:7" x14ac:dyDescent="0.25">
      <c r="C6" t="s">
        <v>7</v>
      </c>
      <c r="D6" t="s">
        <v>90</v>
      </c>
      <c r="E6" t="s">
        <v>94</v>
      </c>
      <c r="F6" t="s">
        <v>95</v>
      </c>
      <c r="G6" t="s">
        <v>96</v>
      </c>
    </row>
    <row r="7" spans="2:7" x14ac:dyDescent="0.25">
      <c r="C7" s="4" t="s">
        <v>18</v>
      </c>
      <c r="D7" s="4"/>
      <c r="E7" s="4">
        <v>2023</v>
      </c>
      <c r="F7" s="4">
        <v>1</v>
      </c>
      <c r="G7" s="4" t="s">
        <v>19</v>
      </c>
    </row>
    <row r="8" spans="2:7" x14ac:dyDescent="0.25">
      <c r="C8" s="4" t="s">
        <v>31</v>
      </c>
      <c r="D8" s="4"/>
      <c r="E8" s="4">
        <v>2022</v>
      </c>
      <c r="F8" s="4">
        <v>12</v>
      </c>
      <c r="G8" s="4" t="s">
        <v>29</v>
      </c>
    </row>
    <row r="9" spans="2:7" x14ac:dyDescent="0.25">
      <c r="C9" s="4" t="s">
        <v>41</v>
      </c>
      <c r="D9" s="4"/>
      <c r="E9" s="4">
        <v>2022</v>
      </c>
      <c r="F9" s="4">
        <v>12</v>
      </c>
      <c r="G9" s="4" t="s">
        <v>15</v>
      </c>
    </row>
    <row r="10" spans="2:7" x14ac:dyDescent="0.25">
      <c r="C10" s="4" t="s">
        <v>52</v>
      </c>
      <c r="D10" s="4"/>
      <c r="E10" s="4">
        <v>2024</v>
      </c>
      <c r="F10" s="4">
        <v>2</v>
      </c>
      <c r="G10" s="4" t="s">
        <v>38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8424C6-30AF-47A5-88D6-E76086E38C6E}">
  <dimension ref="A2:L7"/>
  <sheetViews>
    <sheetView workbookViewId="0">
      <selection activeCell="L3" sqref="L3"/>
    </sheetView>
  </sheetViews>
  <sheetFormatPr defaultRowHeight="15" x14ac:dyDescent="0.25"/>
  <cols>
    <col min="1" max="1" width="11.28515625" bestFit="1" customWidth="1"/>
    <col min="2" max="2" width="13.28515625" bestFit="1" customWidth="1"/>
  </cols>
  <sheetData>
    <row r="2" spans="1:12" x14ac:dyDescent="0.25">
      <c r="A2" s="5" t="s">
        <v>96</v>
      </c>
      <c r="B2" t="s">
        <v>97</v>
      </c>
    </row>
    <row r="3" spans="1:12" x14ac:dyDescent="0.25">
      <c r="A3" t="s">
        <v>29</v>
      </c>
      <c r="B3" s="4">
        <v>12</v>
      </c>
      <c r="L3" t="s">
        <v>104</v>
      </c>
    </row>
    <row r="4" spans="1:12" x14ac:dyDescent="0.25">
      <c r="A4" t="s">
        <v>15</v>
      </c>
      <c r="B4" s="4">
        <v>12</v>
      </c>
    </row>
    <row r="5" spans="1:12" x14ac:dyDescent="0.25">
      <c r="A5" t="s">
        <v>38</v>
      </c>
      <c r="B5" s="4">
        <v>2</v>
      </c>
    </row>
    <row r="6" spans="1:12" x14ac:dyDescent="0.25">
      <c r="A6" t="s">
        <v>19</v>
      </c>
      <c r="B6" s="4">
        <v>1</v>
      </c>
    </row>
    <row r="7" spans="1:12" x14ac:dyDescent="0.25">
      <c r="A7" t="s">
        <v>93</v>
      </c>
      <c r="B7" s="4">
        <v>27</v>
      </c>
    </row>
  </sheetData>
  <pageMargins left="0.7" right="0.7" top="0.75" bottom="0.75" header="0.3" footer="0.3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B1DAEA-1AD2-4541-9488-3139325CF65C}">
  <dimension ref="A2:L6"/>
  <sheetViews>
    <sheetView workbookViewId="0">
      <selection activeCell="Q4" sqref="Q4"/>
    </sheetView>
  </sheetViews>
  <sheetFormatPr defaultRowHeight="15" x14ac:dyDescent="0.25"/>
  <cols>
    <col min="1" max="1" width="11.28515625" bestFit="1" customWidth="1"/>
    <col min="2" max="2" width="6.5703125" bestFit="1" customWidth="1"/>
  </cols>
  <sheetData>
    <row r="2" spans="1:12" x14ac:dyDescent="0.25">
      <c r="A2" s="5" t="s">
        <v>94</v>
      </c>
      <c r="B2" t="s">
        <v>98</v>
      </c>
      <c r="L2" t="s">
        <v>102</v>
      </c>
    </row>
    <row r="3" spans="1:12" x14ac:dyDescent="0.25">
      <c r="A3">
        <v>2022</v>
      </c>
      <c r="B3" s="4">
        <v>24</v>
      </c>
    </row>
    <row r="4" spans="1:12" x14ac:dyDescent="0.25">
      <c r="A4">
        <v>2023</v>
      </c>
      <c r="B4" s="4">
        <v>1</v>
      </c>
    </row>
    <row r="5" spans="1:12" x14ac:dyDescent="0.25">
      <c r="A5">
        <v>2024</v>
      </c>
      <c r="B5" s="4">
        <v>2</v>
      </c>
    </row>
    <row r="6" spans="1:12" x14ac:dyDescent="0.25">
      <c r="A6" t="s">
        <v>93</v>
      </c>
      <c r="B6" s="4">
        <v>27</v>
      </c>
    </row>
  </sheetData>
  <pageMargins left="0.7" right="0.7" top="0.75" bottom="0.75" header="0.3" footer="0.3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78A8C6-B279-413A-98CD-94D46424CBE0}">
  <dimension ref="B2:F13"/>
  <sheetViews>
    <sheetView workbookViewId="0"/>
  </sheetViews>
  <sheetFormatPr defaultRowHeight="15" x14ac:dyDescent="0.25"/>
  <sheetData>
    <row r="2" spans="2:6" x14ac:dyDescent="0.25">
      <c r="B2" s="2" t="s">
        <v>88</v>
      </c>
    </row>
    <row r="3" spans="2:6" x14ac:dyDescent="0.25">
      <c r="B3" s="3" t="s">
        <v>89</v>
      </c>
    </row>
    <row r="4" spans="2:6" x14ac:dyDescent="0.25">
      <c r="B4" s="3"/>
    </row>
    <row r="6" spans="2:6" x14ac:dyDescent="0.25">
      <c r="C6" t="s">
        <v>13</v>
      </c>
      <c r="D6" t="s">
        <v>90</v>
      </c>
      <c r="E6" t="s">
        <v>94</v>
      </c>
      <c r="F6" t="s">
        <v>95</v>
      </c>
    </row>
    <row r="7" spans="2:6" x14ac:dyDescent="0.25">
      <c r="C7" s="4" t="s">
        <v>27</v>
      </c>
      <c r="D7" s="4">
        <v>2022</v>
      </c>
      <c r="E7" s="4">
        <v>11</v>
      </c>
      <c r="F7" s="4" t="s">
        <v>15</v>
      </c>
    </row>
    <row r="8" spans="2:6" x14ac:dyDescent="0.25">
      <c r="C8" s="4" t="s">
        <v>37</v>
      </c>
      <c r="D8" s="4">
        <v>2023</v>
      </c>
      <c r="E8" s="4">
        <v>1</v>
      </c>
      <c r="F8" s="4" t="s">
        <v>38</v>
      </c>
    </row>
    <row r="9" spans="2:6" x14ac:dyDescent="0.25">
      <c r="C9" s="4" t="s">
        <v>47</v>
      </c>
      <c r="D9" s="4">
        <v>2024</v>
      </c>
      <c r="E9" s="4">
        <v>4</v>
      </c>
      <c r="F9" s="4" t="s">
        <v>25</v>
      </c>
    </row>
    <row r="10" spans="2:6" x14ac:dyDescent="0.25">
      <c r="C10" s="4" t="s">
        <v>57</v>
      </c>
      <c r="D10" s="4">
        <v>2022</v>
      </c>
      <c r="E10" s="4">
        <v>12</v>
      </c>
      <c r="F10" s="4" t="s">
        <v>25</v>
      </c>
    </row>
    <row r="11" spans="2:6" x14ac:dyDescent="0.25">
      <c r="C11" s="4" t="s">
        <v>65</v>
      </c>
      <c r="D11" s="4">
        <v>2022</v>
      </c>
      <c r="E11" s="4">
        <v>11</v>
      </c>
      <c r="F11" s="4" t="s">
        <v>25</v>
      </c>
    </row>
    <row r="12" spans="2:6" x14ac:dyDescent="0.25">
      <c r="C12" s="4" t="s">
        <v>71</v>
      </c>
      <c r="D12" s="4">
        <v>2024</v>
      </c>
      <c r="E12" s="4">
        <v>4</v>
      </c>
      <c r="F12" s="4" t="s">
        <v>15</v>
      </c>
    </row>
    <row r="13" spans="2:6" x14ac:dyDescent="0.25">
      <c r="C13" s="4" t="s">
        <v>77</v>
      </c>
      <c r="D13" s="4">
        <v>2023</v>
      </c>
      <c r="E13" s="4">
        <v>1</v>
      </c>
      <c r="F13" s="4" t="s">
        <v>78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21149A-30F9-4D92-911B-8DDCBA3E8D30}">
  <dimension ref="A2:B7"/>
  <sheetViews>
    <sheetView workbookViewId="0">
      <selection activeCell="M3" sqref="M3"/>
    </sheetView>
  </sheetViews>
  <sheetFormatPr defaultRowHeight="15" x14ac:dyDescent="0.25"/>
  <cols>
    <col min="1" max="1" width="20" bestFit="1" customWidth="1"/>
    <col min="2" max="2" width="13.28515625" bestFit="1" customWidth="1"/>
  </cols>
  <sheetData>
    <row r="2" spans="1:2" x14ac:dyDescent="0.25">
      <c r="A2" s="5" t="s">
        <v>95</v>
      </c>
      <c r="B2" t="s">
        <v>15</v>
      </c>
    </row>
    <row r="4" spans="1:2" x14ac:dyDescent="0.25">
      <c r="A4" s="5" t="s">
        <v>13</v>
      </c>
      <c r="B4" t="s">
        <v>99</v>
      </c>
    </row>
    <row r="5" spans="1:2" x14ac:dyDescent="0.25">
      <c r="A5" t="s">
        <v>27</v>
      </c>
      <c r="B5" s="4">
        <v>11</v>
      </c>
    </row>
    <row r="6" spans="1:2" x14ac:dyDescent="0.25">
      <c r="A6" t="s">
        <v>71</v>
      </c>
      <c r="B6" s="4">
        <v>4</v>
      </c>
    </row>
    <row r="7" spans="1:2" x14ac:dyDescent="0.25">
      <c r="A7" t="s">
        <v>93</v>
      </c>
      <c r="B7" s="4">
        <v>15</v>
      </c>
    </row>
  </sheetData>
  <pageMargins left="0.7" right="0.7" top="0.75" bottom="0.75" header="0.3" footer="0.3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836B0B-3E09-4109-85EB-85AC8230788D}">
  <dimension ref="A2:C14"/>
  <sheetViews>
    <sheetView workbookViewId="0">
      <selection activeCell="P6" sqref="P6"/>
    </sheetView>
  </sheetViews>
  <sheetFormatPr defaultRowHeight="15" x14ac:dyDescent="0.25"/>
  <cols>
    <col min="1" max="1" width="11.28515625" bestFit="1" customWidth="1"/>
    <col min="2" max="2" width="41.5703125" bestFit="1" customWidth="1"/>
    <col min="3" max="3" width="13.28515625" bestFit="1" customWidth="1"/>
  </cols>
  <sheetData>
    <row r="2" spans="1:3" x14ac:dyDescent="0.25">
      <c r="A2" s="5" t="s">
        <v>95</v>
      </c>
      <c r="B2" s="5" t="s">
        <v>13</v>
      </c>
      <c r="C2" t="s">
        <v>99</v>
      </c>
    </row>
    <row r="3" spans="1:3" x14ac:dyDescent="0.25">
      <c r="A3" t="s">
        <v>25</v>
      </c>
      <c r="B3" t="s">
        <v>57</v>
      </c>
      <c r="C3" s="4">
        <v>12</v>
      </c>
    </row>
    <row r="4" spans="1:3" x14ac:dyDescent="0.25">
      <c r="B4" t="s">
        <v>47</v>
      </c>
      <c r="C4" s="4">
        <v>4</v>
      </c>
    </row>
    <row r="5" spans="1:3" x14ac:dyDescent="0.25">
      <c r="B5" t="s">
        <v>65</v>
      </c>
      <c r="C5" s="4">
        <v>11</v>
      </c>
    </row>
    <row r="6" spans="1:3" x14ac:dyDescent="0.25">
      <c r="A6" t="s">
        <v>105</v>
      </c>
      <c r="C6" s="4">
        <v>27</v>
      </c>
    </row>
    <row r="7" spans="1:3" x14ac:dyDescent="0.25">
      <c r="A7" t="s">
        <v>15</v>
      </c>
      <c r="B7" t="s">
        <v>27</v>
      </c>
      <c r="C7" s="4">
        <v>11</v>
      </c>
    </row>
    <row r="8" spans="1:3" x14ac:dyDescent="0.25">
      <c r="B8" t="s">
        <v>71</v>
      </c>
      <c r="C8" s="4">
        <v>4</v>
      </c>
    </row>
    <row r="9" spans="1:3" x14ac:dyDescent="0.25">
      <c r="A9" t="s">
        <v>106</v>
      </c>
      <c r="C9" s="4">
        <v>15</v>
      </c>
    </row>
    <row r="10" spans="1:3" x14ac:dyDescent="0.25">
      <c r="A10" t="s">
        <v>78</v>
      </c>
      <c r="B10" t="s">
        <v>77</v>
      </c>
      <c r="C10" s="4">
        <v>1</v>
      </c>
    </row>
    <row r="11" spans="1:3" x14ac:dyDescent="0.25">
      <c r="A11" t="s">
        <v>107</v>
      </c>
      <c r="C11" s="4">
        <v>1</v>
      </c>
    </row>
    <row r="12" spans="1:3" x14ac:dyDescent="0.25">
      <c r="A12" t="s">
        <v>38</v>
      </c>
      <c r="B12" t="s">
        <v>37</v>
      </c>
      <c r="C12" s="4">
        <v>1</v>
      </c>
    </row>
    <row r="13" spans="1:3" x14ac:dyDescent="0.25">
      <c r="A13" t="s">
        <v>108</v>
      </c>
      <c r="C13" s="4">
        <v>1</v>
      </c>
    </row>
    <row r="14" spans="1:3" x14ac:dyDescent="0.25">
      <c r="A14" t="s">
        <v>93</v>
      </c>
      <c r="C14" s="4">
        <v>44</v>
      </c>
    </row>
  </sheetData>
  <pageMargins left="0.7" right="0.7" top="0.75" bottom="0.75" header="0.3" footer="0.3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F2ED8C-6B8E-4434-8560-C607335BEAAF}">
  <dimension ref="A1:B10"/>
  <sheetViews>
    <sheetView workbookViewId="0">
      <selection activeCell="P13" sqref="P13"/>
    </sheetView>
  </sheetViews>
  <sheetFormatPr defaultRowHeight="15" x14ac:dyDescent="0.25"/>
  <cols>
    <col min="1" max="1" width="27.140625" bestFit="1" customWidth="1"/>
    <col min="2" max="2" width="11.7109375" bestFit="1" customWidth="1"/>
    <col min="3" max="3" width="14" bestFit="1" customWidth="1"/>
  </cols>
  <sheetData>
    <row r="1" spans="1:2" x14ac:dyDescent="0.25">
      <c r="A1" s="5" t="s">
        <v>100</v>
      </c>
      <c r="B1" t="s">
        <v>101</v>
      </c>
    </row>
    <row r="2" spans="1:2" x14ac:dyDescent="0.25">
      <c r="A2" s="6" t="s">
        <v>28</v>
      </c>
      <c r="B2" s="4">
        <v>2018</v>
      </c>
    </row>
    <row r="3" spans="1:2" x14ac:dyDescent="0.25">
      <c r="A3" s="7" t="s">
        <v>15</v>
      </c>
      <c r="B3" s="4">
        <v>2018</v>
      </c>
    </row>
    <row r="4" spans="1:2" x14ac:dyDescent="0.25">
      <c r="A4" s="6" t="s">
        <v>58</v>
      </c>
      <c r="B4" s="4">
        <v>2023</v>
      </c>
    </row>
    <row r="5" spans="1:2" x14ac:dyDescent="0.25">
      <c r="A5" s="7" t="s">
        <v>49</v>
      </c>
      <c r="B5" s="4">
        <v>2023</v>
      </c>
    </row>
    <row r="6" spans="1:2" x14ac:dyDescent="0.25">
      <c r="A6" s="6" t="s">
        <v>39</v>
      </c>
      <c r="B6" s="4">
        <v>2022</v>
      </c>
    </row>
    <row r="7" spans="1:2" x14ac:dyDescent="0.25">
      <c r="A7" s="7" t="s">
        <v>29</v>
      </c>
      <c r="B7" s="4">
        <v>2022</v>
      </c>
    </row>
    <row r="8" spans="1:2" x14ac:dyDescent="0.25">
      <c r="A8" s="6" t="s">
        <v>48</v>
      </c>
      <c r="B8" s="4">
        <v>2023</v>
      </c>
    </row>
    <row r="9" spans="1:2" x14ac:dyDescent="0.25">
      <c r="A9" s="7" t="s">
        <v>25</v>
      </c>
      <c r="B9" s="4">
        <v>2023</v>
      </c>
    </row>
    <row r="10" spans="1:2" x14ac:dyDescent="0.25">
      <c r="A10" s="6" t="s">
        <v>93</v>
      </c>
      <c r="B10" s="4">
        <v>8086</v>
      </c>
    </row>
  </sheetData>
  <pageMargins left="0.7" right="0.7" top="0.75" bottom="0.75" header="0.3" footer="0.3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426F46-53EB-4C04-84AD-D09D393B8914}">
  <dimension ref="A1:D7"/>
  <sheetViews>
    <sheetView workbookViewId="0">
      <selection activeCell="D10" sqref="D10"/>
    </sheetView>
  </sheetViews>
  <sheetFormatPr defaultRowHeight="15" x14ac:dyDescent="0.25"/>
  <sheetData>
    <row r="1" spans="1:4" x14ac:dyDescent="0.25">
      <c r="A1" s="1" t="s">
        <v>5</v>
      </c>
      <c r="B1" s="1" t="s">
        <v>3</v>
      </c>
      <c r="C1" s="1" t="s">
        <v>1</v>
      </c>
      <c r="D1" s="1" t="s">
        <v>2</v>
      </c>
    </row>
    <row r="2" spans="1:4" x14ac:dyDescent="0.25">
      <c r="A2" t="s">
        <v>14</v>
      </c>
    </row>
    <row r="3" spans="1:4" x14ac:dyDescent="0.25">
      <c r="A3" t="s">
        <v>28</v>
      </c>
      <c r="B3" t="s">
        <v>15</v>
      </c>
      <c r="C3">
        <v>2018</v>
      </c>
      <c r="D3">
        <v>1</v>
      </c>
    </row>
    <row r="4" spans="1:4" x14ac:dyDescent="0.25">
      <c r="A4" t="s">
        <v>39</v>
      </c>
      <c r="B4" t="s">
        <v>29</v>
      </c>
      <c r="C4">
        <v>2022</v>
      </c>
      <c r="D4">
        <v>10</v>
      </c>
    </row>
    <row r="5" spans="1:4" x14ac:dyDescent="0.25">
      <c r="A5" t="s">
        <v>48</v>
      </c>
      <c r="B5" t="s">
        <v>25</v>
      </c>
      <c r="C5">
        <v>2023</v>
      </c>
      <c r="D5">
        <v>1</v>
      </c>
    </row>
    <row r="6" spans="1:4" x14ac:dyDescent="0.25">
      <c r="A6" t="s">
        <v>58</v>
      </c>
      <c r="B6" t="s">
        <v>49</v>
      </c>
      <c r="C6">
        <v>2023</v>
      </c>
      <c r="D6">
        <v>1</v>
      </c>
    </row>
    <row r="7" spans="1:4" x14ac:dyDescent="0.25">
      <c r="B7" t="s">
        <v>9</v>
      </c>
      <c r="C7">
        <v>2019</v>
      </c>
      <c r="D7">
        <v>3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199DC6-086D-4DFC-94F8-AED5D3C4CEF6}">
  <dimension ref="A1:R11"/>
  <sheetViews>
    <sheetView topLeftCell="A2" workbookViewId="0">
      <selection activeCell="M23" sqref="M23"/>
    </sheetView>
  </sheetViews>
  <sheetFormatPr defaultRowHeight="15" x14ac:dyDescent="0.25"/>
  <sheetData>
    <row r="1" spans="1:18" x14ac:dyDescent="0.25">
      <c r="A1" s="1" t="s">
        <v>0</v>
      </c>
      <c r="B1" s="1" t="s">
        <v>1</v>
      </c>
      <c r="C1" s="1" t="s">
        <v>4</v>
      </c>
      <c r="D1" s="1" t="s">
        <v>3</v>
      </c>
    </row>
    <row r="2" spans="1:18" x14ac:dyDescent="0.25">
      <c r="A2" s="1" t="s">
        <v>10</v>
      </c>
      <c r="P2" s="1" t="s">
        <v>0</v>
      </c>
      <c r="Q2" s="1" t="s">
        <v>4</v>
      </c>
      <c r="R2" s="1" t="s">
        <v>3</v>
      </c>
    </row>
    <row r="3" spans="1:18" x14ac:dyDescent="0.25">
      <c r="A3" t="s">
        <v>22</v>
      </c>
      <c r="B3">
        <v>2023</v>
      </c>
      <c r="C3">
        <v>3</v>
      </c>
      <c r="D3" t="s">
        <v>23</v>
      </c>
      <c r="P3" s="1" t="s">
        <v>10</v>
      </c>
      <c r="R3" t="s">
        <v>23</v>
      </c>
    </row>
    <row r="4" spans="1:18" x14ac:dyDescent="0.25">
      <c r="A4" t="s">
        <v>34</v>
      </c>
      <c r="B4">
        <v>2022</v>
      </c>
      <c r="C4">
        <v>11</v>
      </c>
      <c r="D4" t="s">
        <v>23</v>
      </c>
      <c r="P4" t="s">
        <v>22</v>
      </c>
      <c r="Q4">
        <v>3</v>
      </c>
      <c r="R4" t="s">
        <v>23</v>
      </c>
    </row>
    <row r="5" spans="1:18" x14ac:dyDescent="0.25">
      <c r="A5" t="s">
        <v>43</v>
      </c>
      <c r="B5">
        <v>2022</v>
      </c>
      <c r="C5">
        <v>11</v>
      </c>
      <c r="D5" t="s">
        <v>44</v>
      </c>
      <c r="P5" t="s">
        <v>34</v>
      </c>
      <c r="Q5">
        <v>11</v>
      </c>
      <c r="R5" t="s">
        <v>44</v>
      </c>
    </row>
    <row r="6" spans="1:18" x14ac:dyDescent="0.25">
      <c r="A6" t="s">
        <v>54</v>
      </c>
      <c r="B6">
        <v>2023</v>
      </c>
      <c r="C6">
        <v>1</v>
      </c>
      <c r="D6" t="s">
        <v>51</v>
      </c>
      <c r="P6" t="s">
        <v>43</v>
      </c>
      <c r="Q6">
        <v>11</v>
      </c>
      <c r="R6" t="s">
        <v>51</v>
      </c>
    </row>
    <row r="7" spans="1:18" x14ac:dyDescent="0.25">
      <c r="A7" t="s">
        <v>62</v>
      </c>
      <c r="B7">
        <v>2023</v>
      </c>
      <c r="C7">
        <v>3</v>
      </c>
      <c r="D7" t="s">
        <v>23</v>
      </c>
      <c r="P7" t="s">
        <v>54</v>
      </c>
      <c r="Q7">
        <v>1</v>
      </c>
      <c r="R7" t="s">
        <v>23</v>
      </c>
    </row>
    <row r="8" spans="1:18" x14ac:dyDescent="0.25">
      <c r="A8" t="s">
        <v>68</v>
      </c>
      <c r="B8">
        <v>2023</v>
      </c>
      <c r="C8">
        <v>1</v>
      </c>
      <c r="D8" t="s">
        <v>51</v>
      </c>
      <c r="P8" t="s">
        <v>62</v>
      </c>
      <c r="Q8">
        <v>3</v>
      </c>
      <c r="R8" t="s">
        <v>51</v>
      </c>
    </row>
    <row r="9" spans="1:18" x14ac:dyDescent="0.25">
      <c r="A9" t="s">
        <v>72</v>
      </c>
      <c r="B9">
        <v>2022</v>
      </c>
      <c r="C9">
        <v>11</v>
      </c>
      <c r="D9" t="s">
        <v>73</v>
      </c>
      <c r="P9" t="s">
        <v>68</v>
      </c>
      <c r="Q9">
        <v>1</v>
      </c>
      <c r="R9" t="s">
        <v>73</v>
      </c>
    </row>
    <row r="10" spans="1:18" x14ac:dyDescent="0.25">
      <c r="A10" t="s">
        <v>79</v>
      </c>
      <c r="B10">
        <v>2024</v>
      </c>
      <c r="C10">
        <v>4</v>
      </c>
      <c r="D10" t="s">
        <v>23</v>
      </c>
      <c r="P10" t="s">
        <v>72</v>
      </c>
      <c r="Q10">
        <v>11</v>
      </c>
      <c r="R10" t="s">
        <v>23</v>
      </c>
    </row>
    <row r="11" spans="1:18" x14ac:dyDescent="0.25">
      <c r="P11" t="s">
        <v>79</v>
      </c>
      <c r="Q11">
        <v>4</v>
      </c>
    </row>
  </sheetData>
  <pageMargins left="0.7" right="0.7" top="0.75" bottom="0.75" header="0.3" footer="0.3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E92C23-DE56-4CA5-B0F8-7B4939DDD224}">
  <dimension ref="A1:C15"/>
  <sheetViews>
    <sheetView workbookViewId="0">
      <selection activeCell="Q7" sqref="Q7"/>
    </sheetView>
  </sheetViews>
  <sheetFormatPr defaultRowHeight="15" x14ac:dyDescent="0.25"/>
  <sheetData>
    <row r="1" spans="1:3" x14ac:dyDescent="0.25">
      <c r="A1" s="1" t="s">
        <v>0</v>
      </c>
      <c r="B1" s="1" t="s">
        <v>3</v>
      </c>
      <c r="C1" s="1" t="s">
        <v>4</v>
      </c>
    </row>
    <row r="2" spans="1:3" x14ac:dyDescent="0.25">
      <c r="A2" s="1" t="s">
        <v>11</v>
      </c>
    </row>
    <row r="3" spans="1:3" x14ac:dyDescent="0.25">
      <c r="A3" t="s">
        <v>24</v>
      </c>
      <c r="B3" t="s">
        <v>25</v>
      </c>
      <c r="C3">
        <v>1</v>
      </c>
    </row>
    <row r="4" spans="1:3" x14ac:dyDescent="0.25">
      <c r="A4" t="s">
        <v>35</v>
      </c>
      <c r="B4" t="s">
        <v>9</v>
      </c>
      <c r="C4">
        <v>12</v>
      </c>
    </row>
    <row r="5" spans="1:3" x14ac:dyDescent="0.25">
      <c r="A5" t="s">
        <v>45</v>
      </c>
      <c r="B5" t="s">
        <v>15</v>
      </c>
      <c r="C5">
        <v>12</v>
      </c>
    </row>
    <row r="6" spans="1:3" x14ac:dyDescent="0.25">
      <c r="A6" t="s">
        <v>55</v>
      </c>
      <c r="B6" t="s">
        <v>44</v>
      </c>
      <c r="C6">
        <v>11</v>
      </c>
    </row>
    <row r="7" spans="1:3" x14ac:dyDescent="0.25">
      <c r="A7" t="s">
        <v>63</v>
      </c>
      <c r="B7" t="s">
        <v>25</v>
      </c>
      <c r="C7">
        <v>1</v>
      </c>
    </row>
    <row r="8" spans="1:3" x14ac:dyDescent="0.25">
      <c r="A8" t="s">
        <v>69</v>
      </c>
      <c r="B8" t="s">
        <v>51</v>
      </c>
      <c r="C8">
        <v>12</v>
      </c>
    </row>
    <row r="9" spans="1:3" x14ac:dyDescent="0.25">
      <c r="A9" t="s">
        <v>74</v>
      </c>
      <c r="B9" t="s">
        <v>60</v>
      </c>
      <c r="C9">
        <v>12</v>
      </c>
    </row>
    <row r="10" spans="1:3" x14ac:dyDescent="0.25">
      <c r="A10" t="s">
        <v>80</v>
      </c>
      <c r="B10" t="s">
        <v>15</v>
      </c>
      <c r="C10">
        <v>12</v>
      </c>
    </row>
    <row r="11" spans="1:3" x14ac:dyDescent="0.25">
      <c r="A11" t="s">
        <v>24</v>
      </c>
      <c r="B11" t="s">
        <v>15</v>
      </c>
      <c r="C11">
        <v>4</v>
      </c>
    </row>
    <row r="12" spans="1:3" x14ac:dyDescent="0.25">
      <c r="A12" t="s">
        <v>83</v>
      </c>
      <c r="B12" t="s">
        <v>25</v>
      </c>
      <c r="C12">
        <v>12</v>
      </c>
    </row>
    <row r="13" spans="1:3" x14ac:dyDescent="0.25">
      <c r="A13" t="s">
        <v>84</v>
      </c>
      <c r="B13" t="s">
        <v>15</v>
      </c>
      <c r="C13">
        <v>12</v>
      </c>
    </row>
    <row r="14" spans="1:3" x14ac:dyDescent="0.25">
      <c r="A14" t="s">
        <v>85</v>
      </c>
      <c r="B14" t="s">
        <v>86</v>
      </c>
      <c r="C14">
        <v>12</v>
      </c>
    </row>
    <row r="15" spans="1:3" x14ac:dyDescent="0.25">
      <c r="A15" t="s">
        <v>87</v>
      </c>
      <c r="B15" t="s">
        <v>38</v>
      </c>
      <c r="C15">
        <v>4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14</vt:i4>
      </vt:variant>
    </vt:vector>
  </HeadingPairs>
  <TitlesOfParts>
    <vt:vector size="14" baseType="lpstr">
      <vt:lpstr>Descriptive statistics</vt:lpstr>
      <vt:lpstr>Boston crimes dataset</vt:lpstr>
      <vt:lpstr>Sheet1</vt:lpstr>
      <vt:lpstr>Sheet2</vt:lpstr>
      <vt:lpstr>Sheet3</vt:lpstr>
      <vt:lpstr>Sheet5</vt:lpstr>
      <vt:lpstr>Sheet4</vt:lpstr>
      <vt:lpstr>Sheet6</vt:lpstr>
      <vt:lpstr>Sheet7</vt:lpstr>
      <vt:lpstr>Sheet9</vt:lpstr>
      <vt:lpstr>Sheet11</vt:lpstr>
      <vt:lpstr>Sheet8</vt:lpstr>
      <vt:lpstr>Sheet12</vt:lpstr>
      <vt:lpstr>Sheet10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Hafsa Tabbsum</dc:creator>
  <cp:lastModifiedBy>Hafsa Tabbsum</cp:lastModifiedBy>
  <dcterms:modified xsi:type="dcterms:W3CDTF">2025-05-10T18:40:09Z</dcterms:modified>
</cp:coreProperties>
</file>